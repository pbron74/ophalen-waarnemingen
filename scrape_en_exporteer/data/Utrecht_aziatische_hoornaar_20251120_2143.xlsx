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arneminge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9999"/>
        <bgColor rgb="00FF99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Waarneming ID</t>
        </is>
      </c>
      <c r="B1" t="inlineStr">
        <is>
          <t>Datum</t>
        </is>
      </c>
      <c r="C1" t="inlineStr">
        <is>
          <t>Omschrijving</t>
        </is>
      </c>
      <c r="D1" t="inlineStr">
        <is>
          <t>Locatie</t>
        </is>
      </c>
      <c r="E1" t="inlineStr">
        <is>
          <t>Waarnemer</t>
        </is>
      </c>
      <c r="F1" t="inlineStr">
        <is>
          <t>Link</t>
        </is>
      </c>
      <c r="G1" t="inlineStr">
        <is>
          <t>GPS</t>
        </is>
      </c>
      <c r="H1" t="inlineStr">
        <is>
          <t>Doublure</t>
        </is>
      </c>
      <c r="I1" t="inlineStr">
        <is>
          <t>Type</t>
        </is>
      </c>
      <c r="J1" t="inlineStr">
        <is>
          <t>Validatie status</t>
        </is>
      </c>
      <c r="K1" t="inlineStr">
        <is>
          <t>Datum_parsed</t>
        </is>
      </c>
    </row>
    <row r="2">
      <c r="A2" t="inlineStr">
        <is>
          <t>380455061</t>
        </is>
      </c>
      <c r="B2" t="inlineStr">
        <is>
          <t>2025-11-13 09:36</t>
        </is>
      </c>
      <c r="C2" t="inlineStr">
        <is>
          <t>1 imago, nest</t>
        </is>
      </c>
      <c r="D2" t="inlineStr">
        <is>
          <t>Ondiep / Pijlsweerd</t>
        </is>
      </c>
      <c r="E2" t="inlineStr">
        <is>
          <t>Jan</t>
        </is>
      </c>
      <c r="F2">
        <f>HYPERLINK("https://waarneming.nl/observation/380455061/", "Bekijk")</f>
        <v/>
      </c>
      <c r="G2" t="inlineStr">
        <is>
          <t>GPS 52.10127, 5.10401</t>
        </is>
      </c>
      <c r="H2" t="b">
        <v>0</v>
      </c>
      <c r="I2" t="inlineStr">
        <is>
          <t>Nest - niet geruimd</t>
        </is>
      </c>
      <c r="J2" t="inlineStr">
        <is>
          <t>Goedgekeurd (met bewijs)</t>
        </is>
      </c>
      <c r="K2" s="1" t="n">
        <v>45974.4</v>
      </c>
    </row>
    <row r="3">
      <c r="A3" t="inlineStr">
        <is>
          <t>380517064</t>
        </is>
      </c>
      <c r="B3" t="inlineStr">
        <is>
          <t>2025-11-13 13:17</t>
        </is>
      </c>
      <c r="C3" t="inlineStr">
        <is>
          <t>1 imago</t>
        </is>
      </c>
      <c r="D3" t="inlineStr">
        <is>
          <t>Oost (wijk)</t>
        </is>
      </c>
      <c r="E3" t="inlineStr">
        <is>
          <t>Riek Trommel</t>
        </is>
      </c>
      <c r="F3">
        <f>HYPERLINK("https://waarneming.nl/observation/380517064/", "Bekijk")</f>
        <v/>
      </c>
      <c r="G3" t="inlineStr">
        <is>
          <t>GPS 52.09353, 5.13218</t>
        </is>
      </c>
      <c r="I3" t="inlineStr">
        <is>
          <t>Individueel</t>
        </is>
      </c>
      <c r="J3" t="inlineStr">
        <is>
          <t>Goedgekeurd (met bewijs)</t>
        </is>
      </c>
      <c r="K3" s="1" t="n">
        <v>45974.55347222222</v>
      </c>
    </row>
    <row r="4">
      <c r="A4" t="inlineStr">
        <is>
          <t>380472185</t>
        </is>
      </c>
      <c r="B4" t="inlineStr">
        <is>
          <t>2025-11-13 13:32</t>
        </is>
      </c>
      <c r="C4" t="inlineStr">
        <is>
          <t>2 imago</t>
        </is>
      </c>
      <c r="D4" t="inlineStr">
        <is>
          <t>Tuindorp-Oost</t>
        </is>
      </c>
      <c r="E4" t="inlineStr">
        <is>
          <t>Externe bron</t>
        </is>
      </c>
      <c r="F4">
        <f>HYPERLINK("https://waarneming.nl/observation/380472185/", "Bekijk")</f>
        <v/>
      </c>
      <c r="G4" t="inlineStr">
        <is>
          <t>GPS 52.10292, 5.13515</t>
        </is>
      </c>
      <c r="I4" t="inlineStr">
        <is>
          <t>Individueel</t>
        </is>
      </c>
      <c r="J4" t="inlineStr">
        <is>
          <t>Goedgekeurd (met bewijs)</t>
        </is>
      </c>
      <c r="K4" s="1" t="n">
        <v>45974.56388888889</v>
      </c>
    </row>
    <row r="5">
      <c r="A5" s="2" t="inlineStr">
        <is>
          <t>380653226</t>
        </is>
      </c>
      <c r="B5" s="2" t="inlineStr">
        <is>
          <t>2025-11-16 08:31</t>
        </is>
      </c>
      <c r="C5" s="2" t="inlineStr">
        <is>
          <t>1 imago, nest</t>
        </is>
      </c>
      <c r="D5" s="2" t="inlineStr">
        <is>
          <t>Ondiep / Pijlsweerd</t>
        </is>
      </c>
      <c r="E5" s="2" t="inlineStr">
        <is>
          <t>Externe bron</t>
        </is>
      </c>
      <c r="F5" s="2">
        <f>HYPERLINK("https://waarneming.nl/observation/380653226/", "Bekijk")</f>
        <v/>
      </c>
      <c r="G5" s="2" t="inlineStr">
        <is>
          <t>GPS 52.10135, 5.10380</t>
        </is>
      </c>
      <c r="H5" s="2" t="b">
        <v>1</v>
      </c>
      <c r="I5" s="2" t="inlineStr">
        <is>
          <t>Nest - niet geruimd</t>
        </is>
      </c>
      <c r="J5" s="2" t="inlineStr">
        <is>
          <t>Goedgekeurd (met bewijs)</t>
        </is>
      </c>
      <c r="K5" s="3" t="n">
        <v>45977.35486111111</v>
      </c>
    </row>
    <row r="6">
      <c r="A6" t="inlineStr">
        <is>
          <t>380662024</t>
        </is>
      </c>
      <c r="B6" t="inlineStr">
        <is>
          <t>2025-11-16 10:43</t>
        </is>
      </c>
      <c r="C6" t="inlineStr">
        <is>
          <t>1 imago, nest</t>
        </is>
      </c>
      <c r="D6" t="inlineStr">
        <is>
          <t>Kanaleneiland</t>
        </is>
      </c>
      <c r="E6" t="inlineStr">
        <is>
          <t>Externe bron</t>
        </is>
      </c>
      <c r="F6">
        <f>HYPERLINK("https://waarneming.nl/observation/380662024/", "Bekijk")</f>
        <v/>
      </c>
      <c r="G6" t="inlineStr">
        <is>
          <t>GPS 52.07878, 5.10174</t>
        </is>
      </c>
      <c r="H6" t="b">
        <v>0</v>
      </c>
      <c r="I6" t="inlineStr">
        <is>
          <t>Nest - niet geruimd</t>
        </is>
      </c>
      <c r="J6" t="inlineStr">
        <is>
          <t>Goedgekeurd (met bewijs)</t>
        </is>
      </c>
      <c r="K6" s="1" t="n">
        <v>45977.44652777778</v>
      </c>
    </row>
    <row r="7">
      <c r="A7" t="inlineStr">
        <is>
          <t>380662296</t>
        </is>
      </c>
      <c r="B7" t="inlineStr">
        <is>
          <t>2025-11-16 10:43</t>
        </is>
      </c>
      <c r="C7" t="inlineStr">
        <is>
          <t>1</t>
        </is>
      </c>
      <c r="D7" t="inlineStr">
        <is>
          <t>Kanaleneiland</t>
        </is>
      </c>
      <c r="E7" t="inlineStr">
        <is>
          <t>Externe bron</t>
        </is>
      </c>
      <c r="F7">
        <f>HYPERLINK("https://waarneming.nl/observation/380662296/", "Bekijk")</f>
        <v/>
      </c>
      <c r="G7" t="inlineStr">
        <is>
          <t>GPS 52.07828, 5.10153</t>
        </is>
      </c>
      <c r="I7" t="inlineStr">
        <is>
          <t>Individueel</t>
        </is>
      </c>
      <c r="J7" t="inlineStr">
        <is>
          <t>Onbekend</t>
        </is>
      </c>
      <c r="K7" s="1" t="n">
        <v>45977.44652777778</v>
      </c>
    </row>
    <row r="8">
      <c r="A8" t="inlineStr">
        <is>
          <t>380751603</t>
        </is>
      </c>
      <c r="B8" t="inlineStr">
        <is>
          <t>2025-11-16 10:52</t>
        </is>
      </c>
      <c r="C8" t="inlineStr">
        <is>
          <t>1 nest</t>
        </is>
      </c>
      <c r="D8" t="inlineStr">
        <is>
          <t>Rivierenwijk</t>
        </is>
      </c>
      <c r="E8" t="inlineStr">
        <is>
          <t>Externe bron</t>
        </is>
      </c>
      <c r="F8">
        <f>HYPERLINK("https://waarneming.nl/observation/380751603/", "Bekijk")</f>
        <v/>
      </c>
      <c r="G8" t="inlineStr">
        <is>
          <t>GPS 52.07016, 5.11167</t>
        </is>
      </c>
      <c r="H8" t="b">
        <v>0</v>
      </c>
      <c r="I8" t="inlineStr">
        <is>
          <t>Nest - niet geruimd</t>
        </is>
      </c>
      <c r="J8" t="inlineStr">
        <is>
          <t>Goedgekeurd (met bewijs)</t>
        </is>
      </c>
      <c r="K8" s="1" t="n">
        <v>45977.45277777778</v>
      </c>
    </row>
    <row r="9">
      <c r="A9" t="inlineStr">
        <is>
          <t>380664412</t>
        </is>
      </c>
      <c r="B9" t="inlineStr">
        <is>
          <t>2025-11-16 11:16</t>
        </is>
      </c>
      <c r="C9" t="inlineStr">
        <is>
          <t>1 imago, nest</t>
        </is>
      </c>
      <c r="D9" t="inlineStr">
        <is>
          <t>Noordwest (wijk)</t>
        </is>
      </c>
      <c r="E9" t="inlineStr">
        <is>
          <t>Externe bron</t>
        </is>
      </c>
      <c r="F9">
        <f>HYPERLINK("https://waarneming.nl/observation/380664412/", "Bekijk")</f>
        <v/>
      </c>
      <c r="G9" t="inlineStr">
        <is>
          <t>GPS 52.10236, 5.09398</t>
        </is>
      </c>
      <c r="H9" t="b">
        <v>0</v>
      </c>
      <c r="I9" t="inlineStr">
        <is>
          <t>Nest - niet geruimd</t>
        </is>
      </c>
      <c r="J9" t="inlineStr">
        <is>
          <t>Goedgekeurd (met bewijs)</t>
        </is>
      </c>
      <c r="K9" s="1" t="n">
        <v>45977.46944444445</v>
      </c>
    </row>
    <row r="10">
      <c r="A10" t="inlineStr">
        <is>
          <t>380766753</t>
        </is>
      </c>
      <c r="B10" t="inlineStr">
        <is>
          <t>2025-11-16 14:46</t>
        </is>
      </c>
      <c r="C10" t="inlineStr">
        <is>
          <t>1 imago, nest, gezien</t>
        </is>
      </c>
      <c r="D10" t="inlineStr">
        <is>
          <t>Wittevrouwen</t>
        </is>
      </c>
      <c r="E10" t="inlineStr">
        <is>
          <t>MartinW</t>
        </is>
      </c>
      <c r="F10">
        <f>HYPERLINK("https://waarneming.nl/observation/380766753/", "Bekijk")</f>
        <v/>
      </c>
      <c r="G10" t="inlineStr">
        <is>
          <t>GPS 52.10187, 5.13253</t>
        </is>
      </c>
      <c r="H10" t="b">
        <v>0</v>
      </c>
      <c r="I10" t="inlineStr">
        <is>
          <t>Nest - niet geruimd</t>
        </is>
      </c>
      <c r="J10" t="inlineStr">
        <is>
          <t>Goedgekeurd (met bewijs)</t>
        </is>
      </c>
      <c r="K10" s="1" t="n">
        <v>45977.61527777778</v>
      </c>
    </row>
    <row r="11">
      <c r="A11" t="inlineStr">
        <is>
          <t>380750706</t>
        </is>
      </c>
      <c r="B11" t="inlineStr">
        <is>
          <t>2025-11-17</t>
        </is>
      </c>
      <c r="C11" t="inlineStr">
        <is>
          <t>1</t>
        </is>
      </c>
      <c r="D11" t="inlineStr">
        <is>
          <t>Kanaleneiland</t>
        </is>
      </c>
      <c r="E11" t="inlineStr">
        <is>
          <t>Externe bron</t>
        </is>
      </c>
      <c r="F11">
        <f>HYPERLINK("https://waarneming.nl/observation/380750706/", "Bekijk")</f>
        <v/>
      </c>
      <c r="G11" t="inlineStr">
        <is>
          <t>GPS 52.07828, 5.10157</t>
        </is>
      </c>
      <c r="I11" t="inlineStr">
        <is>
          <t>Individueel</t>
        </is>
      </c>
      <c r="J11" t="inlineStr">
        <is>
          <t>Onbekend</t>
        </is>
      </c>
      <c r="K11" s="1" t="n">
        <v>45978</v>
      </c>
    </row>
    <row r="12">
      <c r="A12" t="inlineStr">
        <is>
          <t>380749109</t>
        </is>
      </c>
      <c r="B12" t="inlineStr">
        <is>
          <t>2025-11-17 08:49</t>
        </is>
      </c>
      <c r="C12" t="inlineStr">
        <is>
          <t>1 imago, nest</t>
        </is>
      </c>
      <c r="D12" t="inlineStr">
        <is>
          <t>Park de Koppel</t>
        </is>
      </c>
      <c r="E12" t="inlineStr">
        <is>
          <t>Externe bron</t>
        </is>
      </c>
      <c r="F12">
        <f>HYPERLINK("https://waarneming.nl/observation/380749109/", "Bekijk")</f>
        <v/>
      </c>
      <c r="G12" t="inlineStr">
        <is>
          <t>GPS 52.05648, 5.12784</t>
        </is>
      </c>
      <c r="H12" t="b">
        <v>0</v>
      </c>
      <c r="I12" t="inlineStr">
        <is>
          <t>Nest - niet geruimd</t>
        </is>
      </c>
      <c r="J12" t="inlineStr">
        <is>
          <t>Goedgekeurd (met bewijs)</t>
        </is>
      </c>
      <c r="K12" s="1" t="n">
        <v>45978.36736111111</v>
      </c>
    </row>
    <row r="13">
      <c r="A13" t="inlineStr">
        <is>
          <t>380749469</t>
        </is>
      </c>
      <c r="B13" t="inlineStr">
        <is>
          <t>2025-11-17 08:54</t>
        </is>
      </c>
      <c r="C13" t="inlineStr">
        <is>
          <t>1 imago</t>
        </is>
      </c>
      <c r="D13" t="inlineStr">
        <is>
          <t>Utrecht (gemeente)</t>
        </is>
      </c>
      <c r="E13" t="inlineStr">
        <is>
          <t>Externe bron</t>
        </is>
      </c>
      <c r="F13">
        <f>HYPERLINK("https://waarneming.nl/observation/380749469/", "Bekijk")</f>
        <v/>
      </c>
      <c r="G13" t="inlineStr">
        <is>
          <t>GPS 52.06186, 5.14656</t>
        </is>
      </c>
      <c r="I13" t="inlineStr">
        <is>
          <t>Individueel</t>
        </is>
      </c>
      <c r="J13" t="inlineStr">
        <is>
          <t>Goedgekeurd (met bewijs)</t>
        </is>
      </c>
      <c r="K13" s="1" t="n">
        <v>45978.37083333333</v>
      </c>
    </row>
    <row r="14">
      <c r="A14" t="inlineStr">
        <is>
          <t>380758531</t>
        </is>
      </c>
      <c r="B14" t="inlineStr">
        <is>
          <t>2025-11-17 12:11</t>
        </is>
      </c>
      <c r="C14" t="inlineStr">
        <is>
          <t>1</t>
        </is>
      </c>
      <c r="D14" t="inlineStr">
        <is>
          <t>Oog In Al</t>
        </is>
      </c>
      <c r="E14" t="inlineStr">
        <is>
          <t>Marjolijn W</t>
        </is>
      </c>
      <c r="F14">
        <f>HYPERLINK("https://waarneming.nl/observation/380758531/", "Bekijk")</f>
        <v/>
      </c>
      <c r="G14" t="inlineStr">
        <is>
          <t>GPS 52.08429, 5.08521</t>
        </is>
      </c>
      <c r="I14" t="inlineStr">
        <is>
          <t>Individueel</t>
        </is>
      </c>
      <c r="J14" t="inlineStr">
        <is>
          <t>Goedgekeurd (met bewijs)</t>
        </is>
      </c>
      <c r="K14" s="1" t="n">
        <v>45978.50763888889</v>
      </c>
    </row>
    <row r="15">
      <c r="A15" t="inlineStr">
        <is>
          <t>380821071</t>
        </is>
      </c>
      <c r="B15" t="inlineStr">
        <is>
          <t>2025-11-18 14:21</t>
        </is>
      </c>
      <c r="C15" t="inlineStr">
        <is>
          <t>1 imago</t>
        </is>
      </c>
      <c r="D15" t="inlineStr">
        <is>
          <t>Ondiep / Pijlsweerd</t>
        </is>
      </c>
      <c r="E15" t="inlineStr">
        <is>
          <t>Externe bron</t>
        </is>
      </c>
      <c r="F15">
        <f>HYPERLINK("https://waarneming.nl/observation/380821071/", "Bekijk")</f>
        <v/>
      </c>
      <c r="G15" t="inlineStr">
        <is>
          <t>GPS 52.10252, 5.10509</t>
        </is>
      </c>
      <c r="I15" t="inlineStr">
        <is>
          <t>Individueel</t>
        </is>
      </c>
      <c r="J15" t="inlineStr">
        <is>
          <t>Goedgekeurd (met bewijs)</t>
        </is>
      </c>
      <c r="K15" s="1" t="n">
        <v>45979.59791666667</v>
      </c>
    </row>
    <row r="16">
      <c r="A16" t="inlineStr">
        <is>
          <t>380884902</t>
        </is>
      </c>
      <c r="B16" t="inlineStr">
        <is>
          <t>2025-11-19 14:32</t>
        </is>
      </c>
      <c r="C16" t="inlineStr">
        <is>
          <t>1 imago</t>
        </is>
      </c>
      <c r="D16" t="inlineStr">
        <is>
          <t>Leidsche Rijn (wijk)</t>
        </is>
      </c>
      <c r="E16" t="inlineStr">
        <is>
          <t>Externe bron</t>
        </is>
      </c>
      <c r="F16">
        <f>HYPERLINK("https://waarneming.nl/observation/380884902/", "Bekijk")</f>
        <v/>
      </c>
      <c r="G16" t="inlineStr">
        <is>
          <t>GPS 52.09037, 5.05891</t>
        </is>
      </c>
      <c r="I16" t="inlineStr">
        <is>
          <t>Individueel</t>
        </is>
      </c>
      <c r="J16" t="inlineStr">
        <is>
          <t>Goedgekeurd (met bewijs)</t>
        </is>
      </c>
      <c r="K16" s="1" t="n">
        <v>45980.60555555556</v>
      </c>
    </row>
    <row r="17">
      <c r="A17" t="inlineStr">
        <is>
          <t>380912617</t>
        </is>
      </c>
      <c r="B17" t="inlineStr">
        <is>
          <t>2025-11-20 08:17</t>
        </is>
      </c>
      <c r="C17" t="inlineStr">
        <is>
          <t>1 imago, nest</t>
        </is>
      </c>
      <c r="D17" t="inlineStr">
        <is>
          <t>Tuinwijk</t>
        </is>
      </c>
      <c r="E17" t="inlineStr">
        <is>
          <t>Externe bron</t>
        </is>
      </c>
      <c r="F17">
        <f>HYPERLINK("https://waarneming.nl/observation/380912617/", "Bekijk")</f>
        <v/>
      </c>
      <c r="G17" t="inlineStr">
        <is>
          <t>GPS 52.10421, 5.11917</t>
        </is>
      </c>
      <c r="H17" t="b">
        <v>0</v>
      </c>
      <c r="I17" t="inlineStr">
        <is>
          <t>Nest - niet geruimd</t>
        </is>
      </c>
      <c r="J17" t="inlineStr">
        <is>
          <t>Goedgekeurd (met bewijs)</t>
        </is>
      </c>
      <c r="K17" s="1" t="n">
        <v>45981.34513888889</v>
      </c>
    </row>
    <row r="18">
      <c r="A18" t="inlineStr">
        <is>
          <t>379554803</t>
        </is>
      </c>
      <c r="B18" t="inlineStr">
        <is>
          <t>2025-11-05 08:10</t>
        </is>
      </c>
      <c r="C18" t="inlineStr">
        <is>
          <t>1 imago, nest</t>
        </is>
      </c>
      <c r="D18" t="inlineStr">
        <is>
          <t>Majoor Bosshardt-Plantsoen</t>
        </is>
      </c>
      <c r="E18" t="inlineStr">
        <is>
          <t>Maarten Nieuwenhuize</t>
        </is>
      </c>
      <c r="F18">
        <f>HYPERLINK("https://waarneming.nl/observation/379554803/", "Bekijk")</f>
        <v/>
      </c>
      <c r="G18" t="inlineStr">
        <is>
          <t>GPS 52.10471, 5.12394</t>
        </is>
      </c>
      <c r="H18" t="b">
        <v>0</v>
      </c>
      <c r="I18" t="inlineStr">
        <is>
          <t>Nest - niet geruimd</t>
        </is>
      </c>
      <c r="J18" t="inlineStr">
        <is>
          <t>Goedgekeurd (met bewijs)</t>
        </is>
      </c>
      <c r="K18" s="1" t="n">
        <v>45966.34027777778</v>
      </c>
    </row>
    <row r="19">
      <c r="A19" t="inlineStr">
        <is>
          <t>379435454</t>
        </is>
      </c>
      <c r="B19" t="inlineStr">
        <is>
          <t>2025-11-05 08:48</t>
        </is>
      </c>
      <c r="C19" t="inlineStr">
        <is>
          <t>1 imago, dood</t>
        </is>
      </c>
      <c r="D19" t="inlineStr">
        <is>
          <t>Vleuten De Meern (wijk)</t>
        </is>
      </c>
      <c r="E19" t="inlineStr">
        <is>
          <t>Externe bron</t>
        </is>
      </c>
      <c r="F19">
        <f>HYPERLINK("https://waarneming.nl/observation/379435454/", "Bekijk")</f>
        <v/>
      </c>
      <c r="G19" t="inlineStr">
        <is>
          <t>GPS 52.08985, 5.01385</t>
        </is>
      </c>
      <c r="I19" t="inlineStr">
        <is>
          <t>Individueel</t>
        </is>
      </c>
      <c r="J19" t="inlineStr">
        <is>
          <t>Goedgekeurd (met bewijs)</t>
        </is>
      </c>
      <c r="K19" s="1" t="n">
        <v>45966.36666666667</v>
      </c>
    </row>
    <row r="20">
      <c r="A20" t="inlineStr">
        <is>
          <t>379576213</t>
        </is>
      </c>
      <c r="B20" t="inlineStr">
        <is>
          <t>2025-11-05 08:48</t>
        </is>
      </c>
      <c r="C20" t="inlineStr">
        <is>
          <t>1 imago, dood</t>
        </is>
      </c>
      <c r="D20" t="inlineStr">
        <is>
          <t>Vleuten De Meern (wijk)</t>
        </is>
      </c>
      <c r="E20" t="inlineStr">
        <is>
          <t>Externe bron</t>
        </is>
      </c>
      <c r="F20">
        <f>HYPERLINK("https://waarneming.nl/observation/379576213/", "Bekijk")</f>
        <v/>
      </c>
      <c r="G20" t="inlineStr">
        <is>
          <t>GPS 52.08980, 5.01406</t>
        </is>
      </c>
      <c r="I20" t="inlineStr">
        <is>
          <t>Individueel</t>
        </is>
      </c>
      <c r="J20" t="inlineStr">
        <is>
          <t>Goedgekeurd (met bewijs)</t>
        </is>
      </c>
      <c r="K20" s="1" t="n">
        <v>45966.36666666667</v>
      </c>
    </row>
    <row r="21">
      <c r="A21" t="inlineStr">
        <is>
          <t>379409782</t>
        </is>
      </c>
      <c r="B21" t="inlineStr">
        <is>
          <t>2025-11-05 10:50</t>
        </is>
      </c>
      <c r="C21" t="inlineStr">
        <is>
          <t>1 imago</t>
        </is>
      </c>
      <c r="D21" t="inlineStr">
        <is>
          <t>Tuindorp</t>
        </is>
      </c>
      <c r="E21" t="inlineStr">
        <is>
          <t>Externe bron</t>
        </is>
      </c>
      <c r="F21">
        <f>HYPERLINK("https://waarneming.nl/observation/379409782/", "Bekijk")</f>
        <v/>
      </c>
      <c r="G21" t="inlineStr">
        <is>
          <t>GPS 52.10645, 5.12358</t>
        </is>
      </c>
      <c r="I21" t="inlineStr">
        <is>
          <t>Individueel</t>
        </is>
      </c>
      <c r="J21" t="inlineStr">
        <is>
          <t>Goedgekeurd (met bewijs)</t>
        </is>
      </c>
      <c r="K21" s="1" t="n">
        <v>45966.45138888889</v>
      </c>
    </row>
    <row r="22">
      <c r="A22" t="inlineStr">
        <is>
          <t>379414271</t>
        </is>
      </c>
      <c r="B22" t="inlineStr">
        <is>
          <t>2025-11-05 11:30</t>
        </is>
      </c>
      <c r="C22" t="inlineStr">
        <is>
          <t>3 imago</t>
        </is>
      </c>
      <c r="D22" t="inlineStr">
        <is>
          <t>Noordwest (wijk)</t>
        </is>
      </c>
      <c r="E22" t="inlineStr">
        <is>
          <t>Externe bron</t>
        </is>
      </c>
      <c r="F22">
        <f>HYPERLINK("https://waarneming.nl/observation/379414271/", "Bekijk")</f>
        <v/>
      </c>
      <c r="G22" t="inlineStr">
        <is>
          <t>GPS 52.10303, 5.09428</t>
        </is>
      </c>
      <c r="I22" t="inlineStr">
        <is>
          <t>Individueel</t>
        </is>
      </c>
      <c r="J22" t="inlineStr">
        <is>
          <t>Goedgekeurd (met bewijs)</t>
        </is>
      </c>
      <c r="K22" s="1" t="n">
        <v>45966.47916666666</v>
      </c>
    </row>
    <row r="23">
      <c r="A23" t="inlineStr">
        <is>
          <t>379419473</t>
        </is>
      </c>
      <c r="B23" t="inlineStr">
        <is>
          <t>2025-11-05 12:32</t>
        </is>
      </c>
      <c r="C23" t="inlineStr">
        <is>
          <t>1 imago</t>
        </is>
      </c>
      <c r="D23" t="inlineStr">
        <is>
          <t>Terwijde</t>
        </is>
      </c>
      <c r="E23" t="inlineStr">
        <is>
          <t>Ria Glas</t>
        </is>
      </c>
      <c r="F23">
        <f>HYPERLINK("https://waarneming.nl/observation/379419473/", "Bekijk")</f>
        <v/>
      </c>
      <c r="G23" t="inlineStr">
        <is>
          <t>GPS 52.10576, 5.03408</t>
        </is>
      </c>
      <c r="I23" t="inlineStr">
        <is>
          <t>Individueel</t>
        </is>
      </c>
      <c r="J23" t="inlineStr">
        <is>
          <t>Goedgekeurd (met bewijs)</t>
        </is>
      </c>
      <c r="K23" s="1" t="n">
        <v>45966.52222222222</v>
      </c>
    </row>
    <row r="24">
      <c r="A24" t="inlineStr">
        <is>
          <t>379422380</t>
        </is>
      </c>
      <c r="B24" t="inlineStr">
        <is>
          <t>2025-11-05 12:42</t>
        </is>
      </c>
      <c r="C24" t="inlineStr">
        <is>
          <t>2 imago</t>
        </is>
      </c>
      <c r="D24" t="inlineStr">
        <is>
          <t>Ondiep / Pijlsweerd</t>
        </is>
      </c>
      <c r="E24" t="inlineStr">
        <is>
          <t>Externe bron</t>
        </is>
      </c>
      <c r="F24">
        <f>HYPERLINK("https://waarneming.nl/observation/379422380/", "Bekijk")</f>
        <v/>
      </c>
      <c r="G24" t="inlineStr">
        <is>
          <t>GPS 52.10177, 5.10328</t>
        </is>
      </c>
      <c r="I24" t="inlineStr">
        <is>
          <t>Individueel</t>
        </is>
      </c>
      <c r="J24" t="inlineStr">
        <is>
          <t>Goedgekeurd (met bewijs)</t>
        </is>
      </c>
      <c r="K24" s="1" t="n">
        <v>45966.52916666667</v>
      </c>
    </row>
    <row r="25">
      <c r="A25" t="inlineStr">
        <is>
          <t>379426096</t>
        </is>
      </c>
      <c r="B25" t="inlineStr">
        <is>
          <t>2025-11-05 12:42</t>
        </is>
      </c>
      <c r="C25" t="inlineStr">
        <is>
          <t>1 imago</t>
        </is>
      </c>
      <c r="D25" t="inlineStr">
        <is>
          <t>Ondiep / Pijlsweerd</t>
        </is>
      </c>
      <c r="E25" t="inlineStr">
        <is>
          <t>Wouter Prins</t>
        </is>
      </c>
      <c r="F25">
        <f>HYPERLINK("https://waarneming.nl/observation/379426096/", "Bekijk")</f>
        <v/>
      </c>
      <c r="G25" t="inlineStr">
        <is>
          <t>GPS 52.10177, 5.10327</t>
        </is>
      </c>
      <c r="I25" t="inlineStr">
        <is>
          <t>Individueel</t>
        </is>
      </c>
      <c r="J25" t="inlineStr">
        <is>
          <t>Goedgekeurd (met bewijs)</t>
        </is>
      </c>
      <c r="K25" s="1" t="n">
        <v>45966.52916666667</v>
      </c>
    </row>
    <row r="26">
      <c r="A26" t="inlineStr">
        <is>
          <t>379425093</t>
        </is>
      </c>
      <c r="B26" t="inlineStr">
        <is>
          <t>2025-11-05 12:50</t>
        </is>
      </c>
      <c r="C26" t="inlineStr">
        <is>
          <t>1 imago</t>
        </is>
      </c>
      <c r="D26" t="inlineStr">
        <is>
          <t>Binnenstad (wijk)</t>
        </is>
      </c>
      <c r="E26" t="inlineStr">
        <is>
          <t>Externe bron</t>
        </is>
      </c>
      <c r="F26">
        <f>HYPERLINK("https://waarneming.nl/observation/379425093/", "Bekijk")</f>
        <v/>
      </c>
      <c r="G26" t="inlineStr">
        <is>
          <t>GPS 52.09432, 5.12013</t>
        </is>
      </c>
      <c r="I26" t="inlineStr">
        <is>
          <t>Individueel</t>
        </is>
      </c>
      <c r="J26" t="inlineStr">
        <is>
          <t>Goedgekeurd (met bewijs)</t>
        </is>
      </c>
      <c r="K26" s="1" t="n">
        <v>45966.53472222222</v>
      </c>
    </row>
    <row r="27">
      <c r="A27" t="inlineStr">
        <is>
          <t>379450649</t>
        </is>
      </c>
      <c r="B27" t="inlineStr">
        <is>
          <t>2025-11-05 13:22</t>
        </is>
      </c>
      <c r="C27" t="inlineStr">
        <is>
          <t>4 imago</t>
        </is>
      </c>
      <c r="D27" t="inlineStr">
        <is>
          <t>Oog In Al</t>
        </is>
      </c>
      <c r="E27" t="inlineStr">
        <is>
          <t>Externe bron</t>
        </is>
      </c>
      <c r="F27">
        <f>HYPERLINK("https://waarneming.nl/observation/379450649/", "Bekijk")</f>
        <v/>
      </c>
      <c r="G27" t="inlineStr">
        <is>
          <t>GPS 52.08701, 5.08769</t>
        </is>
      </c>
      <c r="I27" t="inlineStr">
        <is>
          <t>Individueel</t>
        </is>
      </c>
      <c r="J27" t="inlineStr">
        <is>
          <t>Goedgekeurd (met bewijs)</t>
        </is>
      </c>
      <c r="K27" s="1" t="n">
        <v>45966.55694444444</v>
      </c>
    </row>
    <row r="28">
      <c r="A28" t="inlineStr">
        <is>
          <t>379733067</t>
        </is>
      </c>
      <c r="B28" t="inlineStr">
        <is>
          <t>2025-11-06</t>
        </is>
      </c>
      <c r="C28" t="inlineStr">
        <is>
          <t>1 imago, nest</t>
        </is>
      </c>
      <c r="D28" t="inlineStr">
        <is>
          <t>Tuinwijk</t>
        </is>
      </c>
      <c r="E28" t="inlineStr">
        <is>
          <t>Marc</t>
        </is>
      </c>
      <c r="F28">
        <f>HYPERLINK("https://waarneming.nl/observation/379733067/", "Bekijk")</f>
        <v/>
      </c>
      <c r="G28" t="inlineStr">
        <is>
          <t>GPS 52.10420, 5.11918</t>
        </is>
      </c>
      <c r="H28" t="b">
        <v>0</v>
      </c>
      <c r="I28" t="inlineStr">
        <is>
          <t>Nest - niet geruimd</t>
        </is>
      </c>
      <c r="J28" t="inlineStr">
        <is>
          <t>Goedgekeurd (met bewijs)</t>
        </is>
      </c>
      <c r="K28" s="1" t="n">
        <v>45967</v>
      </c>
    </row>
    <row r="29">
      <c r="A29" t="inlineStr">
        <is>
          <t>379670205</t>
        </is>
      </c>
      <c r="B29" t="inlineStr">
        <is>
          <t>2025-11-06 12:22</t>
        </is>
      </c>
      <c r="C29" t="inlineStr">
        <is>
          <t>1 imago</t>
        </is>
      </c>
      <c r="D29" t="inlineStr">
        <is>
          <t>Utrecht</t>
        </is>
      </c>
      <c r="E29" t="inlineStr">
        <is>
          <t>Ekterami</t>
        </is>
      </c>
      <c r="F29">
        <f>HYPERLINK("https://waarneming.nl/observation/379670205/", "Bekijk")</f>
        <v/>
      </c>
      <c r="G29" t="inlineStr">
        <is>
          <t>GPS 52.07742, 5.07122</t>
        </is>
      </c>
      <c r="I29" t="inlineStr">
        <is>
          <t>Individueel</t>
        </is>
      </c>
      <c r="J29" t="inlineStr">
        <is>
          <t>Goedgekeurd (met bewijs)</t>
        </is>
      </c>
      <c r="K29" s="1" t="n">
        <v>45967.51527777778</v>
      </c>
    </row>
    <row r="30">
      <c r="A30" t="inlineStr">
        <is>
          <t>379691705</t>
        </is>
      </c>
      <c r="B30" t="inlineStr">
        <is>
          <t>2025-11-06 14:17</t>
        </is>
      </c>
      <c r="C30" t="inlineStr">
        <is>
          <t>1 imago</t>
        </is>
      </c>
      <c r="D30" t="inlineStr">
        <is>
          <t>Kanaleneiland</t>
        </is>
      </c>
      <c r="E30" t="inlineStr">
        <is>
          <t>Externe bron</t>
        </is>
      </c>
      <c r="F30">
        <f>HYPERLINK("https://waarneming.nl/observation/379691705/", "Bekijk")</f>
        <v/>
      </c>
      <c r="G30" t="inlineStr">
        <is>
          <t>GPS 52.06791, 5.11078</t>
        </is>
      </c>
      <c r="I30" t="inlineStr">
        <is>
          <t>Individueel</t>
        </is>
      </c>
      <c r="J30" t="inlineStr">
        <is>
          <t>Goedgekeurd (met bewijs)</t>
        </is>
      </c>
      <c r="K30" s="1" t="n">
        <v>45967.59513888889</v>
      </c>
    </row>
    <row r="31">
      <c r="A31" t="inlineStr">
        <is>
          <t>379842285</t>
        </is>
      </c>
      <c r="B31" t="inlineStr">
        <is>
          <t>2025-11-07 10:55</t>
        </is>
      </c>
      <c r="C31" t="inlineStr">
        <is>
          <t>1 imago</t>
        </is>
      </c>
      <c r="D31" t="inlineStr">
        <is>
          <t>Zuid</t>
        </is>
      </c>
      <c r="E31" t="inlineStr">
        <is>
          <t>piet de laat</t>
        </is>
      </c>
      <c r="F31">
        <f>HYPERLINK("https://waarneming.nl/observation/379842285/", "Bekijk")</f>
        <v/>
      </c>
      <c r="G31" t="inlineStr">
        <is>
          <t>GPS 52.11002, 5.11843</t>
        </is>
      </c>
      <c r="I31" t="inlineStr">
        <is>
          <t>Individueel</t>
        </is>
      </c>
      <c r="J31" t="inlineStr">
        <is>
          <t>Goedgekeurd (met bewijs)</t>
        </is>
      </c>
      <c r="K31" s="1" t="n">
        <v>45968.45486111111</v>
      </c>
    </row>
    <row r="32">
      <c r="A32" t="inlineStr">
        <is>
          <t>380285969</t>
        </is>
      </c>
      <c r="B32" t="inlineStr">
        <is>
          <t>2025-11-07 12:20</t>
        </is>
      </c>
      <c r="C32" t="inlineStr">
        <is>
          <t>1 imago</t>
        </is>
      </c>
      <c r="D32" t="inlineStr">
        <is>
          <t>Zuilen</t>
        </is>
      </c>
      <c r="E32" t="inlineStr">
        <is>
          <t>Externe bron</t>
        </is>
      </c>
      <c r="F32">
        <f>HYPERLINK("https://waarneming.nl/observation/380285969/", "Bekijk")</f>
        <v/>
      </c>
      <c r="G32" t="inlineStr">
        <is>
          <t>GPS 52.10965, 5.09848</t>
        </is>
      </c>
      <c r="I32" t="inlineStr">
        <is>
          <t>Individueel</t>
        </is>
      </c>
      <c r="J32" t="inlineStr">
        <is>
          <t>Goedgekeurd (met bewijs)</t>
        </is>
      </c>
      <c r="K32" s="1" t="n">
        <v>45968.51388888889</v>
      </c>
    </row>
    <row r="33">
      <c r="A33" t="inlineStr">
        <is>
          <t>380792837</t>
        </is>
      </c>
      <c r="B33" t="inlineStr">
        <is>
          <t>2025-11-07 15:00</t>
        </is>
      </c>
      <c r="C33" t="inlineStr">
        <is>
          <t>101 nest</t>
        </is>
      </c>
      <c r="D33" t="inlineStr">
        <is>
          <t>Wittevrouwen</t>
        </is>
      </c>
      <c r="E33" t="inlineStr">
        <is>
          <t>Monique Soeteman</t>
        </is>
      </c>
      <c r="F33">
        <f>HYPERLINK("https://waarneming.nl/observation/380792837/", "Bekijk")</f>
        <v/>
      </c>
      <c r="G33" t="inlineStr">
        <is>
          <t>GPS 52.10184, 5.13268</t>
        </is>
      </c>
      <c r="H33" t="b">
        <v>0</v>
      </c>
      <c r="I33" t="inlineStr">
        <is>
          <t>Nest - niet geruimd</t>
        </is>
      </c>
      <c r="J33" t="inlineStr">
        <is>
          <t>Goedgekeurd (met bewijs)</t>
        </is>
      </c>
      <c r="K33" s="1" t="n">
        <v>45968.625</v>
      </c>
    </row>
    <row r="34">
      <c r="A34" t="inlineStr">
        <is>
          <t>379900283</t>
        </is>
      </c>
      <c r="B34" t="inlineStr">
        <is>
          <t>2025-11-07 15:21</t>
        </is>
      </c>
      <c r="C34" t="inlineStr">
        <is>
          <t>1 imago</t>
        </is>
      </c>
      <c r="D34" t="inlineStr">
        <is>
          <t>Rivierenwijk</t>
        </is>
      </c>
      <c r="E34" t="inlineStr">
        <is>
          <t>Externe bron</t>
        </is>
      </c>
      <c r="F34">
        <f>HYPERLINK("https://waarneming.nl/observation/379900283/", "Bekijk")</f>
        <v/>
      </c>
      <c r="G34" t="inlineStr">
        <is>
          <t>GPS 52.07625, 5.11401</t>
        </is>
      </c>
      <c r="I34" t="inlineStr">
        <is>
          <t>Individueel</t>
        </is>
      </c>
      <c r="J34" t="inlineStr">
        <is>
          <t>Goedgekeurd (met bewijs)</t>
        </is>
      </c>
      <c r="K34" s="1" t="n">
        <v>45968.63958333333</v>
      </c>
    </row>
    <row r="35">
      <c r="A35" t="inlineStr">
        <is>
          <t>379923599</t>
        </is>
      </c>
      <c r="B35" t="inlineStr">
        <is>
          <t>2025-11-07 15:31</t>
        </is>
      </c>
      <c r="C35" t="inlineStr">
        <is>
          <t>1 imago</t>
        </is>
      </c>
      <c r="D35" t="inlineStr">
        <is>
          <t>Centraal Station</t>
        </is>
      </c>
      <c r="E35" t="inlineStr">
        <is>
          <t>Externe bron</t>
        </is>
      </c>
      <c r="F35">
        <f>HYPERLINK("https://waarneming.nl/observation/379923599/", "Bekijk")</f>
        <v/>
      </c>
      <c r="G35" t="inlineStr">
        <is>
          <t>GPS 52.09044, 5.11152</t>
        </is>
      </c>
      <c r="I35" t="inlineStr">
        <is>
          <t>Individueel</t>
        </is>
      </c>
      <c r="J35" t="inlineStr">
        <is>
          <t>Goedgekeurd (met bewijs)</t>
        </is>
      </c>
      <c r="K35" s="1" t="n">
        <v>45968.64652777778</v>
      </c>
    </row>
    <row r="36">
      <c r="A36" t="inlineStr">
        <is>
          <t>379915826</t>
        </is>
      </c>
      <c r="B36" t="inlineStr">
        <is>
          <t>2025-11-07 15:55</t>
        </is>
      </c>
      <c r="C36" t="inlineStr">
        <is>
          <t>1 imago</t>
        </is>
      </c>
      <c r="D36" t="inlineStr">
        <is>
          <t>Noord</t>
        </is>
      </c>
      <c r="E36" t="inlineStr">
        <is>
          <t>Externe bron</t>
        </is>
      </c>
      <c r="F36">
        <f>HYPERLINK("https://waarneming.nl/observation/379915826/", "Bekijk")</f>
        <v/>
      </c>
      <c r="G36" t="inlineStr">
        <is>
          <t>GPS 52.12409, 5.10340</t>
        </is>
      </c>
      <c r="I36" t="inlineStr">
        <is>
          <t>Individueel</t>
        </is>
      </c>
      <c r="J36" t="inlineStr">
        <is>
          <t>Goedgekeurd (met bewijs)</t>
        </is>
      </c>
      <c r="K36" s="1" t="n">
        <v>45968.66319444445</v>
      </c>
    </row>
    <row r="37">
      <c r="A37" t="inlineStr">
        <is>
          <t>379972934</t>
        </is>
      </c>
      <c r="B37" t="inlineStr">
        <is>
          <t>2025-11-08 10:38</t>
        </is>
      </c>
      <c r="C37" t="inlineStr">
        <is>
          <t>1 imago</t>
        </is>
      </c>
      <c r="D37" t="inlineStr">
        <is>
          <t>Ondiep / Pijlsweerd</t>
        </is>
      </c>
      <c r="E37" t="inlineStr">
        <is>
          <t>David</t>
        </is>
      </c>
      <c r="F37">
        <f>HYPERLINK("https://waarneming.nl/observation/379972934/", "Bekijk")</f>
        <v/>
      </c>
      <c r="G37" t="inlineStr">
        <is>
          <t>GPS 52.10318, 5.10295</t>
        </is>
      </c>
      <c r="I37" t="inlineStr">
        <is>
          <t>Individueel</t>
        </is>
      </c>
      <c r="J37" t="inlineStr">
        <is>
          <t>Goedgekeurd (met bewijs)</t>
        </is>
      </c>
      <c r="K37" s="1" t="n">
        <v>45969.44305555556</v>
      </c>
    </row>
    <row r="38">
      <c r="A38" s="2" t="inlineStr">
        <is>
          <t>379976704</t>
        </is>
      </c>
      <c r="B38" s="2" t="inlineStr">
        <is>
          <t>2025-11-08 11:12</t>
        </is>
      </c>
      <c r="C38" s="2" t="inlineStr">
        <is>
          <t>1 imago, nest</t>
        </is>
      </c>
      <c r="D38" s="2" t="inlineStr">
        <is>
          <t>Majoor Bosshardt-Plantsoen</t>
        </is>
      </c>
      <c r="E38" s="2" t="inlineStr">
        <is>
          <t>Hisko de Vries</t>
        </is>
      </c>
      <c r="F38" s="2">
        <f>HYPERLINK("https://waarneming.nl/observation/379976704/", "Bekijk")</f>
        <v/>
      </c>
      <c r="G38" s="2" t="inlineStr">
        <is>
          <t>GPS 52.10469, 5.12398</t>
        </is>
      </c>
      <c r="H38" s="2" t="b">
        <v>1</v>
      </c>
      <c r="I38" s="2" t="inlineStr">
        <is>
          <t>Nest - niet geruimd</t>
        </is>
      </c>
      <c r="J38" s="2" t="inlineStr">
        <is>
          <t>Goedgekeurd (met bewijs)</t>
        </is>
      </c>
      <c r="K38" s="3" t="n">
        <v>45969.46666666667</v>
      </c>
    </row>
    <row r="39">
      <c r="A39" t="inlineStr">
        <is>
          <t>379985856</t>
        </is>
      </c>
      <c r="B39" t="inlineStr">
        <is>
          <t>2025-11-08 12:00</t>
        </is>
      </c>
      <c r="C39" t="inlineStr">
        <is>
          <t>1 imago</t>
        </is>
      </c>
      <c r="D39" t="inlineStr">
        <is>
          <t>Zuilen</t>
        </is>
      </c>
      <c r="E39" t="inlineStr">
        <is>
          <t>Externe bron</t>
        </is>
      </c>
      <c r="F39">
        <f>HYPERLINK("https://waarneming.nl/observation/379985856/", "Bekijk")</f>
        <v/>
      </c>
      <c r="G39" t="inlineStr">
        <is>
          <t>GPS 52.10951, 5.08599</t>
        </is>
      </c>
      <c r="I39" t="inlineStr">
        <is>
          <t>Individueel</t>
        </is>
      </c>
      <c r="J39" t="inlineStr">
        <is>
          <t>Goedgekeurd (met bewijs)</t>
        </is>
      </c>
      <c r="K39" s="1" t="n">
        <v>45969.5</v>
      </c>
    </row>
    <row r="40">
      <c r="A40" t="inlineStr">
        <is>
          <t>380047627</t>
        </is>
      </c>
      <c r="B40" t="inlineStr">
        <is>
          <t>2025-11-08 14:06</t>
        </is>
      </c>
      <c r="C40" t="inlineStr">
        <is>
          <t>1 imago</t>
        </is>
      </c>
      <c r="D40" t="inlineStr">
        <is>
          <t>Zuilen</t>
        </is>
      </c>
      <c r="E40" t="inlineStr">
        <is>
          <t>Externe bron</t>
        </is>
      </c>
      <c r="F40">
        <f>HYPERLINK("https://waarneming.nl/observation/380047627/", "Bekijk")</f>
        <v/>
      </c>
      <c r="G40" t="inlineStr">
        <is>
          <t>GPS 52.11487, 5.09391</t>
        </is>
      </c>
      <c r="I40" t="inlineStr">
        <is>
          <t>Individueel</t>
        </is>
      </c>
      <c r="J40" t="inlineStr">
        <is>
          <t>Goedgekeurd (met bewijs)</t>
        </is>
      </c>
      <c r="K40" s="1" t="n">
        <v>45969.5875</v>
      </c>
    </row>
    <row r="41">
      <c r="A41" t="inlineStr">
        <is>
          <t>380111678</t>
        </is>
      </c>
      <c r="B41" t="inlineStr">
        <is>
          <t>2025-11-09 12:32</t>
        </is>
      </c>
      <c r="C41" t="inlineStr">
        <is>
          <t>1 imago</t>
        </is>
      </c>
      <c r="D41" t="inlineStr">
        <is>
          <t>Merwedekanaal</t>
        </is>
      </c>
      <c r="E41" t="inlineStr">
        <is>
          <t>Stijn Schreven</t>
        </is>
      </c>
      <c r="F41">
        <f>HYPERLINK("https://waarneming.nl/observation/380111678/", "Bekijk")</f>
        <v/>
      </c>
      <c r="G41" t="inlineStr">
        <is>
          <t>GPS 52.08169, 5.10841</t>
        </is>
      </c>
      <c r="I41" t="inlineStr">
        <is>
          <t>Individueel</t>
        </is>
      </c>
      <c r="J41" t="inlineStr">
        <is>
          <t>Goedgekeurd (met bewijs)</t>
        </is>
      </c>
      <c r="K41" s="1" t="n">
        <v>45970.52222222222</v>
      </c>
    </row>
    <row r="42">
      <c r="A42" t="inlineStr">
        <is>
          <t>380185169</t>
        </is>
      </c>
      <c r="B42" t="inlineStr">
        <is>
          <t>2025-11-09 12:35</t>
        </is>
      </c>
      <c r="C42" t="inlineStr">
        <is>
          <t>1 imago</t>
        </is>
      </c>
      <c r="D42" t="inlineStr">
        <is>
          <t>Binnenstad (wijk)</t>
        </is>
      </c>
      <c r="E42" t="inlineStr">
        <is>
          <t>Externe bron</t>
        </is>
      </c>
      <c r="F42">
        <f>HYPERLINK("https://waarneming.nl/observation/380185169/", "Bekijk")</f>
        <v/>
      </c>
      <c r="G42" t="inlineStr">
        <is>
          <t>GPS 52.09110, 5.12277</t>
        </is>
      </c>
      <c r="I42" t="inlineStr">
        <is>
          <t>Individueel</t>
        </is>
      </c>
      <c r="J42" t="inlineStr">
        <is>
          <t>Goedgekeurd (met bewijs)</t>
        </is>
      </c>
      <c r="K42" s="1" t="n">
        <v>45970.52430555555</v>
      </c>
    </row>
    <row r="43">
      <c r="A43" t="inlineStr">
        <is>
          <t>380129658</t>
        </is>
      </c>
      <c r="B43" t="inlineStr">
        <is>
          <t>2025-11-09 13:30</t>
        </is>
      </c>
      <c r="C43" t="inlineStr">
        <is>
          <t>4 imago</t>
        </is>
      </c>
      <c r="D43" t="inlineStr">
        <is>
          <t>Tuindorp-Oost</t>
        </is>
      </c>
      <c r="E43" t="inlineStr">
        <is>
          <t>Cees</t>
        </is>
      </c>
      <c r="F43">
        <f>HYPERLINK("https://waarneming.nl/observation/380129658/", "Bekijk")</f>
        <v/>
      </c>
      <c r="G43" t="inlineStr">
        <is>
          <t>GPS 52.10418, 5.13177</t>
        </is>
      </c>
      <c r="I43" t="inlineStr">
        <is>
          <t>Individueel</t>
        </is>
      </c>
      <c r="J43" t="inlineStr">
        <is>
          <t>Goedgekeurd (met bewijs)</t>
        </is>
      </c>
      <c r="K43" s="1" t="n">
        <v>45970.5625</v>
      </c>
    </row>
    <row r="44">
      <c r="A44" t="inlineStr">
        <is>
          <t>380243288</t>
        </is>
      </c>
      <c r="B44" t="inlineStr">
        <is>
          <t>2025-11-09 13:39</t>
        </is>
      </c>
      <c r="C44" t="inlineStr">
        <is>
          <t>1 imago, nest</t>
        </is>
      </c>
      <c r="D44" t="inlineStr">
        <is>
          <t>Zuid</t>
        </is>
      </c>
      <c r="E44" t="inlineStr">
        <is>
          <t>Externe bron</t>
        </is>
      </c>
      <c r="F44">
        <f>HYPERLINK("https://waarneming.nl/observation/380243288/", "Bekijk")</f>
        <v/>
      </c>
      <c r="G44" t="inlineStr">
        <is>
          <t>GPS 52.11536, 5.11521</t>
        </is>
      </c>
      <c r="H44" t="b">
        <v>0</v>
      </c>
      <c r="I44" t="inlineStr">
        <is>
          <t>Nest - niet geruimd</t>
        </is>
      </c>
      <c r="J44" t="inlineStr">
        <is>
          <t>Goedgekeurd (met bewijs)</t>
        </is>
      </c>
      <c r="K44" s="1" t="n">
        <v>45970.56875</v>
      </c>
    </row>
    <row r="45">
      <c r="A45" t="inlineStr">
        <is>
          <t>380166579</t>
        </is>
      </c>
      <c r="B45" t="inlineStr">
        <is>
          <t>2025-11-09 13:44</t>
        </is>
      </c>
      <c r="C45" t="inlineStr">
        <is>
          <t>1 imago, nest</t>
        </is>
      </c>
      <c r="D45" t="inlineStr">
        <is>
          <t>Oost (wijk)</t>
        </is>
      </c>
      <c r="E45" t="inlineStr">
        <is>
          <t>Externe bron</t>
        </is>
      </c>
      <c r="F45">
        <f>HYPERLINK("https://waarneming.nl/observation/380166579/", "Bekijk")</f>
        <v/>
      </c>
      <c r="G45" t="inlineStr">
        <is>
          <t>GPS 52.08088, 5.15860</t>
        </is>
      </c>
      <c r="H45" t="b">
        <v>0</v>
      </c>
      <c r="I45" t="inlineStr">
        <is>
          <t>Nest - niet geruimd</t>
        </is>
      </c>
      <c r="J45" t="inlineStr">
        <is>
          <t>Goedgekeurd (met bewijs)</t>
        </is>
      </c>
      <c r="K45" s="1" t="n">
        <v>45970.57222222222</v>
      </c>
    </row>
    <row r="46">
      <c r="A46" t="inlineStr">
        <is>
          <t>380132498</t>
        </is>
      </c>
      <c r="B46" t="inlineStr">
        <is>
          <t>2025-11-09 14:08</t>
        </is>
      </c>
      <c r="C46" t="inlineStr">
        <is>
          <t>1 imago, nest</t>
        </is>
      </c>
      <c r="D46" t="inlineStr">
        <is>
          <t>Noord</t>
        </is>
      </c>
      <c r="E46" t="inlineStr">
        <is>
          <t>Max Lamberts</t>
        </is>
      </c>
      <c r="F46">
        <f>HYPERLINK("https://waarneming.nl/observation/380132498/", "Bekijk")</f>
        <v/>
      </c>
      <c r="G46" t="inlineStr">
        <is>
          <t>GPS 52.12692, 5.09718</t>
        </is>
      </c>
      <c r="H46" t="b">
        <v>0</v>
      </c>
      <c r="I46" t="inlineStr">
        <is>
          <t>Nest - niet geruimd</t>
        </is>
      </c>
      <c r="J46" t="inlineStr">
        <is>
          <t>Goedgekeurd (met bewijs)</t>
        </is>
      </c>
      <c r="K46" s="1" t="n">
        <v>45970.58888888889</v>
      </c>
    </row>
    <row r="47">
      <c r="A47" t="inlineStr">
        <is>
          <t>380223259</t>
        </is>
      </c>
      <c r="B47" t="inlineStr">
        <is>
          <t>2025-11-09 15:00</t>
        </is>
      </c>
      <c r="C47" t="inlineStr">
        <is>
          <t>1 imago, nest</t>
        </is>
      </c>
      <c r="D47" t="inlineStr">
        <is>
          <t>ATV Stadion</t>
        </is>
      </c>
      <c r="E47" t="inlineStr">
        <is>
          <t>Externe bron</t>
        </is>
      </c>
      <c r="F47">
        <f>HYPERLINK("https://waarneming.nl/observation/380223259/", "Bekijk")</f>
        <v/>
      </c>
      <c r="G47" t="inlineStr">
        <is>
          <t>GPS 52.09489, 5.15699</t>
        </is>
      </c>
      <c r="H47" t="b">
        <v>0</v>
      </c>
      <c r="I47" t="inlineStr">
        <is>
          <t>Nest - niet geruimd</t>
        </is>
      </c>
      <c r="J47" t="inlineStr">
        <is>
          <t>Goedgekeurd (met bewijs)</t>
        </is>
      </c>
      <c r="K47" s="1" t="n">
        <v>45970.625</v>
      </c>
    </row>
    <row r="48">
      <c r="A48" t="inlineStr">
        <is>
          <t>380143368</t>
        </is>
      </c>
      <c r="B48" t="inlineStr">
        <is>
          <t>2025-11-09 15:18</t>
        </is>
      </c>
      <c r="C48" t="inlineStr">
        <is>
          <t>1 imago</t>
        </is>
      </c>
      <c r="D48" t="inlineStr">
        <is>
          <t>Park de Koppel</t>
        </is>
      </c>
      <c r="E48" t="inlineStr">
        <is>
          <t>Ruben Herrebrugh</t>
        </is>
      </c>
      <c r="F48">
        <f>HYPERLINK("https://waarneming.nl/observation/380143368/", "Bekijk")</f>
        <v/>
      </c>
      <c r="G48" t="inlineStr">
        <is>
          <t>GPS 52.05674, 5.12740</t>
        </is>
      </c>
      <c r="I48" t="inlineStr">
        <is>
          <t>Individueel</t>
        </is>
      </c>
      <c r="J48" t="inlineStr">
        <is>
          <t>Goedgekeurd (met bewijs)</t>
        </is>
      </c>
      <c r="K48" s="1" t="n">
        <v>45970.6375</v>
      </c>
    </row>
    <row r="49">
      <c r="A49" t="inlineStr">
        <is>
          <t>380143896</t>
        </is>
      </c>
      <c r="B49" t="inlineStr">
        <is>
          <t>2025-11-09 15:19</t>
        </is>
      </c>
      <c r="C49" t="inlineStr">
        <is>
          <t>1 imago</t>
        </is>
      </c>
      <c r="D49" t="inlineStr">
        <is>
          <t>Rivierenwijk</t>
        </is>
      </c>
      <c r="E49" t="inlineStr">
        <is>
          <t>Floortje</t>
        </is>
      </c>
      <c r="F49">
        <f>HYPERLINK("https://waarneming.nl/observation/380143896/", "Bekijk")</f>
        <v/>
      </c>
      <c r="G49" t="inlineStr">
        <is>
          <t>GPS 52.07233, 5.11808</t>
        </is>
      </c>
      <c r="I49" t="inlineStr">
        <is>
          <t>Individueel</t>
        </is>
      </c>
      <c r="J49" t="inlineStr">
        <is>
          <t>Goedgekeurd (met bewijs)</t>
        </is>
      </c>
      <c r="K49" s="1" t="n">
        <v>45970.63819444444</v>
      </c>
    </row>
    <row r="50">
      <c r="A50" t="inlineStr">
        <is>
          <t>380146220</t>
        </is>
      </c>
      <c r="B50" t="inlineStr">
        <is>
          <t>2025-11-09 15:32</t>
        </is>
      </c>
      <c r="C50" t="inlineStr">
        <is>
          <t>1 imago</t>
        </is>
      </c>
      <c r="D50" t="inlineStr">
        <is>
          <t>Noord</t>
        </is>
      </c>
      <c r="E50" t="inlineStr">
        <is>
          <t>Peter Jellema</t>
        </is>
      </c>
      <c r="F50">
        <f>HYPERLINK("https://waarneming.nl/observation/380146220/", "Bekijk")</f>
        <v/>
      </c>
      <c r="G50" t="inlineStr">
        <is>
          <t>GPS 52.06727, 5.12047</t>
        </is>
      </c>
      <c r="I50" t="inlineStr">
        <is>
          <t>Individueel</t>
        </is>
      </c>
      <c r="J50" t="inlineStr">
        <is>
          <t>Goedgekeurd (met bewijs)</t>
        </is>
      </c>
      <c r="K50" s="1" t="n">
        <v>45970.64722222222</v>
      </c>
    </row>
    <row r="51">
      <c r="A51" t="inlineStr">
        <is>
          <t>380226339</t>
        </is>
      </c>
      <c r="B51" t="inlineStr">
        <is>
          <t>2025-11-10 09:45</t>
        </is>
      </c>
      <c r="C51" t="inlineStr">
        <is>
          <t>1 imago, nest</t>
        </is>
      </c>
      <c r="D51" t="inlineStr">
        <is>
          <t>Ondiep / Pijlsweerd</t>
        </is>
      </c>
      <c r="E51" t="inlineStr">
        <is>
          <t>Externe bron</t>
        </is>
      </c>
      <c r="F51">
        <f>HYPERLINK("https://waarneming.nl/observation/380226339/", "Bekijk")</f>
        <v/>
      </c>
      <c r="G51" t="inlineStr">
        <is>
          <t>GPS 52.10139, 5.10400</t>
        </is>
      </c>
      <c r="H51" t="b">
        <v>0</v>
      </c>
      <c r="I51" t="inlineStr">
        <is>
          <t>Nest - niet geruimd</t>
        </is>
      </c>
      <c r="J51" t="inlineStr">
        <is>
          <t>Goedgekeurd (met bewijs)</t>
        </is>
      </c>
      <c r="K51" s="1" t="n">
        <v>45971.40625</v>
      </c>
    </row>
    <row r="52">
      <c r="A52" s="2" t="inlineStr">
        <is>
          <t>380281365</t>
        </is>
      </c>
      <c r="B52" s="2" t="inlineStr">
        <is>
          <t>2025-11-10 13:41</t>
        </is>
      </c>
      <c r="C52" s="2" t="inlineStr">
        <is>
          <t>1 imago, nest</t>
        </is>
      </c>
      <c r="D52" s="2" t="inlineStr">
        <is>
          <t>ATV Stadion</t>
        </is>
      </c>
      <c r="E52" s="2" t="inlineStr">
        <is>
          <t>Externe bron</t>
        </is>
      </c>
      <c r="F52" s="2">
        <f>HYPERLINK("https://waarneming.nl/observation/380281365/", "Bekijk")</f>
        <v/>
      </c>
      <c r="G52" s="2" t="inlineStr">
        <is>
          <t>GPS 52.09479, 5.15696</t>
        </is>
      </c>
      <c r="H52" s="2" t="b">
        <v>1</v>
      </c>
      <c r="I52" s="2" t="inlineStr">
        <is>
          <t>Nest - niet geruimd</t>
        </is>
      </c>
      <c r="J52" s="2" t="inlineStr">
        <is>
          <t>Goedgekeurd (met bewijs)</t>
        </is>
      </c>
      <c r="K52" s="3" t="n">
        <v>45971.57013888889</v>
      </c>
    </row>
    <row r="53">
      <c r="A53" t="inlineStr">
        <is>
          <t>380263973</t>
        </is>
      </c>
      <c r="B53" t="inlineStr">
        <is>
          <t>2025-11-10 16:20</t>
        </is>
      </c>
      <c r="C53" t="inlineStr">
        <is>
          <t>1.000 nest, gezien</t>
        </is>
      </c>
      <c r="D53" t="inlineStr">
        <is>
          <t>Utrecht</t>
        </is>
      </c>
      <c r="E53" t="inlineStr">
        <is>
          <t>W (AH contact persoon Vijfheerenlanden)</t>
        </is>
      </c>
      <c r="F53">
        <f>HYPERLINK("https://waarneming.nl/observation/380263973/", "Bekijk")</f>
        <v/>
      </c>
      <c r="G53" t="inlineStr">
        <is>
          <t>GPS 52.07078, 5.04809</t>
        </is>
      </c>
      <c r="H53" t="b">
        <v>0</v>
      </c>
      <c r="I53" t="inlineStr">
        <is>
          <t>Nest - niet geruimd</t>
        </is>
      </c>
      <c r="J53" t="inlineStr">
        <is>
          <t>Onbekend</t>
        </is>
      </c>
      <c r="K53" s="1" t="n">
        <v>45971.68055555555</v>
      </c>
    </row>
    <row r="54">
      <c r="A54" t="inlineStr">
        <is>
          <t>380285965</t>
        </is>
      </c>
      <c r="B54" t="inlineStr">
        <is>
          <t>2025-11-10 22:04</t>
        </is>
      </c>
      <c r="C54" t="inlineStr">
        <is>
          <t>1 imago</t>
        </is>
      </c>
      <c r="D54" t="inlineStr">
        <is>
          <t>Wittevrouwen</t>
        </is>
      </c>
      <c r="E54" t="inlineStr">
        <is>
          <t>Externe bron</t>
        </is>
      </c>
      <c r="F54">
        <f>HYPERLINK("https://waarneming.nl/observation/380285965/", "Bekijk")</f>
        <v/>
      </c>
      <c r="G54" t="inlineStr">
        <is>
          <t>GPS 52.10108, 5.13583</t>
        </is>
      </c>
      <c r="I54" t="inlineStr">
        <is>
          <t>Individueel</t>
        </is>
      </c>
      <c r="J54" t="inlineStr">
        <is>
          <t>Goedgekeurd (met bewijs)</t>
        </is>
      </c>
      <c r="K54" s="1" t="n">
        <v>45971.91944444444</v>
      </c>
    </row>
    <row r="55">
      <c r="A55" t="inlineStr">
        <is>
          <t>380295524</t>
        </is>
      </c>
      <c r="B55" t="inlineStr">
        <is>
          <t>2025-11-11 09:09</t>
        </is>
      </c>
      <c r="C55" t="inlineStr">
        <is>
          <t>1 imago, nest</t>
        </is>
      </c>
      <c r="D55" t="inlineStr">
        <is>
          <t>Binnenstad (wijk)</t>
        </is>
      </c>
      <c r="E55" t="inlineStr">
        <is>
          <t>Ron Harmelink</t>
        </is>
      </c>
      <c r="F55">
        <f>HYPERLINK("https://waarneming.nl/observation/380295524/", "Bekijk")</f>
        <v/>
      </c>
      <c r="G55" t="inlineStr">
        <is>
          <t>GPS 52.08841, 5.12431</t>
        </is>
      </c>
      <c r="H55" t="b">
        <v>0</v>
      </c>
      <c r="I55" t="inlineStr">
        <is>
          <t>Nest - niet geruimd</t>
        </is>
      </c>
      <c r="J55" t="inlineStr">
        <is>
          <t>Goedgekeurd (met bewijs)</t>
        </is>
      </c>
      <c r="K55" s="1" t="n">
        <v>45972.38125</v>
      </c>
    </row>
    <row r="56">
      <c r="A56" t="inlineStr">
        <is>
          <t>380521724</t>
        </is>
      </c>
      <c r="B56" t="inlineStr">
        <is>
          <t>2025-11-12</t>
        </is>
      </c>
      <c r="C56" t="inlineStr">
        <is>
          <t>1 imago, nest</t>
        </is>
      </c>
      <c r="D56" t="inlineStr">
        <is>
          <t>Noord</t>
        </is>
      </c>
      <c r="E56" t="inlineStr">
        <is>
          <t>Externe bron</t>
        </is>
      </c>
      <c r="F56">
        <f>HYPERLINK("https://waarneming.nl/observation/380521724/", "Bekijk")</f>
        <v/>
      </c>
      <c r="G56" t="inlineStr">
        <is>
          <t>GPS 52.07045, 5.11815</t>
        </is>
      </c>
      <c r="H56" t="b">
        <v>0</v>
      </c>
      <c r="I56" t="inlineStr">
        <is>
          <t>Nest - niet geruimd</t>
        </is>
      </c>
      <c r="J56" t="inlineStr">
        <is>
          <t>Goedgekeurd (met bewijs)</t>
        </is>
      </c>
      <c r="K56" s="1" t="n">
        <v>45973</v>
      </c>
    </row>
    <row r="57">
      <c r="A57" s="2" t="inlineStr">
        <is>
          <t>380393306</t>
        </is>
      </c>
      <c r="B57" s="2" t="inlineStr">
        <is>
          <t>2025-11-12 11:28</t>
        </is>
      </c>
      <c r="C57" s="2" t="inlineStr">
        <is>
          <t>1 imago, nest</t>
        </is>
      </c>
      <c r="D57" s="2" t="inlineStr">
        <is>
          <t>Noord</t>
        </is>
      </c>
      <c r="E57" s="2" t="inlineStr">
        <is>
          <t>Externe bron</t>
        </is>
      </c>
      <c r="F57" s="2">
        <f>HYPERLINK("https://waarneming.nl/observation/380393306/", "Bekijk")</f>
        <v/>
      </c>
      <c r="G57" s="2" t="inlineStr">
        <is>
          <t>GPS 52.07040, 5.11811</t>
        </is>
      </c>
      <c r="H57" s="2" t="b">
        <v>1</v>
      </c>
      <c r="I57" s="2" t="inlineStr">
        <is>
          <t>Nest - niet geruimd</t>
        </is>
      </c>
      <c r="J57" s="2" t="inlineStr">
        <is>
          <t>Goedgekeurd (met bewijs)</t>
        </is>
      </c>
      <c r="K57" s="3" t="n">
        <v>45973.47777777778</v>
      </c>
    </row>
    <row r="58">
      <c r="A58" s="2" t="inlineStr">
        <is>
          <t>380496231</t>
        </is>
      </c>
      <c r="B58" s="2" t="inlineStr">
        <is>
          <t>2025-11-12 11:30</t>
        </is>
      </c>
      <c r="C58" s="2" t="inlineStr">
        <is>
          <t>1 imago, nest</t>
        </is>
      </c>
      <c r="D58" s="2" t="inlineStr">
        <is>
          <t>Noord</t>
        </is>
      </c>
      <c r="E58" s="2" t="inlineStr">
        <is>
          <t>Jaap Knoppert</t>
        </is>
      </c>
      <c r="F58" s="2">
        <f>HYPERLINK("https://waarneming.nl/observation/380496231/", "Bekijk")</f>
        <v/>
      </c>
      <c r="G58" s="2" t="inlineStr">
        <is>
          <t>GPS 52.07047, 5.11818</t>
        </is>
      </c>
      <c r="H58" s="2" t="b">
        <v>1</v>
      </c>
      <c r="I58" s="2" t="inlineStr">
        <is>
          <t>Nest - niet geruimd</t>
        </is>
      </c>
      <c r="J58" s="2" t="inlineStr">
        <is>
          <t>Goedgekeurd (met bewijs)</t>
        </is>
      </c>
      <c r="K58" s="3" t="n">
        <v>45973.47916666666</v>
      </c>
    </row>
    <row r="59">
      <c r="A59" s="2" t="inlineStr">
        <is>
          <t>380393672</t>
        </is>
      </c>
      <c r="B59" s="2" t="inlineStr">
        <is>
          <t>2025-11-12 11:52</t>
        </is>
      </c>
      <c r="C59" s="2" t="inlineStr">
        <is>
          <t>1 imago, nest</t>
        </is>
      </c>
      <c r="D59" s="2" t="inlineStr">
        <is>
          <t>Wittevrouwen</t>
        </is>
      </c>
      <c r="E59" s="2" t="inlineStr">
        <is>
          <t>Externe bron</t>
        </is>
      </c>
      <c r="F59" s="2">
        <f>HYPERLINK("https://waarneming.nl/observation/380393672/", "Bekijk")</f>
        <v/>
      </c>
      <c r="G59" s="2" t="inlineStr">
        <is>
          <t>GPS 52.10185, 5.13250</t>
        </is>
      </c>
      <c r="H59" s="2" t="b">
        <v>1</v>
      </c>
      <c r="I59" s="2" t="inlineStr">
        <is>
          <t>Nest - niet geruimd</t>
        </is>
      </c>
      <c r="J59" s="2" t="inlineStr">
        <is>
          <t>Goedgekeurd (met bewijs)</t>
        </is>
      </c>
      <c r="K59" s="3" t="n">
        <v>45973.49444444444</v>
      </c>
    </row>
    <row r="60">
      <c r="A60" s="2" t="inlineStr">
        <is>
          <t>380402175</t>
        </is>
      </c>
      <c r="B60" s="2" t="inlineStr">
        <is>
          <t>2025-11-12 13:26</t>
        </is>
      </c>
      <c r="C60" s="2" t="inlineStr">
        <is>
          <t>1 imago, nest</t>
        </is>
      </c>
      <c r="D60" s="2" t="inlineStr">
        <is>
          <t>Noord</t>
        </is>
      </c>
      <c r="E60" s="2" t="inlineStr">
        <is>
          <t>Externe bron</t>
        </is>
      </c>
      <c r="F60" s="2">
        <f>HYPERLINK("https://waarneming.nl/observation/380402175/", "Bekijk")</f>
        <v/>
      </c>
      <c r="G60" s="2" t="inlineStr">
        <is>
          <t>GPS 52.12706, 5.09691</t>
        </is>
      </c>
      <c r="H60" s="2" t="b">
        <v>1</v>
      </c>
      <c r="I60" s="2" t="inlineStr">
        <is>
          <t>Nest - niet geruimd</t>
        </is>
      </c>
      <c r="J60" s="2" t="inlineStr">
        <is>
          <t>Goedgekeurd (met bewijs)</t>
        </is>
      </c>
      <c r="K60" s="3" t="n">
        <v>45973.55972222222</v>
      </c>
    </row>
    <row r="61">
      <c r="A61" t="inlineStr">
        <is>
          <t>380405361</t>
        </is>
      </c>
      <c r="B61" t="inlineStr">
        <is>
          <t>2025-11-12 13:33</t>
        </is>
      </c>
      <c r="C61" t="inlineStr">
        <is>
          <t>2 imago</t>
        </is>
      </c>
      <c r="D61" t="inlineStr">
        <is>
          <t>Zuid</t>
        </is>
      </c>
      <c r="E61" t="inlineStr">
        <is>
          <t>Externe bron</t>
        </is>
      </c>
      <c r="F61">
        <f>HYPERLINK("https://waarneming.nl/observation/380405361/", "Bekijk")</f>
        <v/>
      </c>
      <c r="G61" t="inlineStr">
        <is>
          <t>GPS 52.11569, 5.11355</t>
        </is>
      </c>
      <c r="I61" t="inlineStr">
        <is>
          <t>Individueel</t>
        </is>
      </c>
      <c r="J61" t="inlineStr">
        <is>
          <t>Goedgekeurd (met bewijs)</t>
        </is>
      </c>
      <c r="K61" s="1" t="n">
        <v>45973.56458333333</v>
      </c>
    </row>
    <row r="62">
      <c r="A62" t="inlineStr">
        <is>
          <t>380407946</t>
        </is>
      </c>
      <c r="B62" t="inlineStr">
        <is>
          <t>2025-11-12 14:00</t>
        </is>
      </c>
      <c r="C62" t="inlineStr">
        <is>
          <t>3 imago</t>
        </is>
      </c>
      <c r="D62" t="inlineStr">
        <is>
          <t>Rivierenwijk</t>
        </is>
      </c>
      <c r="E62" t="inlineStr">
        <is>
          <t>Externe bron</t>
        </is>
      </c>
      <c r="F62">
        <f>HYPERLINK("https://waarneming.nl/observation/380407946/", "Bekijk")</f>
        <v/>
      </c>
      <c r="G62" t="inlineStr">
        <is>
          <t>GPS 52.07232, 5.11808</t>
        </is>
      </c>
      <c r="I62" t="inlineStr">
        <is>
          <t>Individueel</t>
        </is>
      </c>
      <c r="J62" t="inlineStr">
        <is>
          <t>Goedgekeurd (met bewijs)</t>
        </is>
      </c>
      <c r="K62" s="1" t="n">
        <v>45973.58333333334</v>
      </c>
    </row>
    <row r="63">
      <c r="A63" t="inlineStr">
        <is>
          <t>380422346</t>
        </is>
      </c>
      <c r="B63" t="inlineStr">
        <is>
          <t>2025-11-12 14:41</t>
        </is>
      </c>
      <c r="C63" t="inlineStr">
        <is>
          <t>1 imago</t>
        </is>
      </c>
      <c r="D63" t="inlineStr">
        <is>
          <t>Rijnsweerd</t>
        </is>
      </c>
      <c r="E63" t="inlineStr">
        <is>
          <t>Bram ter Keurs</t>
        </is>
      </c>
      <c r="F63">
        <f>HYPERLINK("https://waarneming.nl/observation/380422346/", "Bekijk")</f>
        <v/>
      </c>
      <c r="G63" t="inlineStr">
        <is>
          <t>GPS 52.09265, 5.14741</t>
        </is>
      </c>
      <c r="I63" t="inlineStr">
        <is>
          <t>Individueel</t>
        </is>
      </c>
      <c r="J63" t="inlineStr">
        <is>
          <t>Onbekend</t>
        </is>
      </c>
      <c r="K63" s="1" t="n">
        <v>45973.61180555556</v>
      </c>
    </row>
    <row r="64">
      <c r="A64" t="inlineStr">
        <is>
          <t>381090028</t>
        </is>
      </c>
      <c r="B64" t="inlineStr">
        <is>
          <t>2025-11-12 15:02</t>
        </is>
      </c>
      <c r="C64" t="inlineStr">
        <is>
          <t>1 imago, nest</t>
        </is>
      </c>
      <c r="D64" t="inlineStr">
        <is>
          <t>Park de Koppel</t>
        </is>
      </c>
      <c r="E64" t="inlineStr">
        <is>
          <t>Kris Schepp</t>
        </is>
      </c>
      <c r="F64">
        <f>HYPERLINK("https://waarneming.nl/observation/381090028/", "Bekijk")</f>
        <v/>
      </c>
      <c r="G64" t="inlineStr">
        <is>
          <t>GPS 52.05648, 5.12767</t>
        </is>
      </c>
      <c r="H64" t="b">
        <v>0</v>
      </c>
      <c r="I64" t="inlineStr">
        <is>
          <t>Nest - niet geruimd</t>
        </is>
      </c>
      <c r="J64" t="inlineStr">
        <is>
          <t>Goedgekeurd (met bewijs)</t>
        </is>
      </c>
      <c r="K64" s="1" t="n">
        <v>45973.62638888889</v>
      </c>
    </row>
    <row r="65">
      <c r="A65" t="inlineStr">
        <is>
          <t>380411841</t>
        </is>
      </c>
      <c r="B65" t="inlineStr">
        <is>
          <t>2025-11-12 15:09</t>
        </is>
      </c>
      <c r="C65" t="inlineStr">
        <is>
          <t>1 imago, nest</t>
        </is>
      </c>
      <c r="D65" t="inlineStr">
        <is>
          <t>t.h.v. Utrecht</t>
        </is>
      </c>
      <c r="E65" t="inlineStr">
        <is>
          <t>Externe bron</t>
        </is>
      </c>
      <c r="F65">
        <f>HYPERLINK("https://waarneming.nl/observation/380411841/", "Bekijk")</f>
        <v/>
      </c>
      <c r="G65" t="inlineStr">
        <is>
          <t>GPS 52.11853, 5.08670</t>
        </is>
      </c>
      <c r="H65" t="b">
        <v>0</v>
      </c>
      <c r="I65" t="inlineStr">
        <is>
          <t>Nest - niet geruimd</t>
        </is>
      </c>
      <c r="J65" t="inlineStr">
        <is>
          <t>Goedgekeurd (met bewijs)</t>
        </is>
      </c>
      <c r="K65" s="1" t="n">
        <v>45973.63125</v>
      </c>
    </row>
    <row r="66">
      <c r="A66" s="2" t="inlineStr">
        <is>
          <t>380412613</t>
        </is>
      </c>
      <c r="B66" s="2" t="inlineStr">
        <is>
          <t>2025-11-12 15:09</t>
        </is>
      </c>
      <c r="C66" s="2" t="inlineStr">
        <is>
          <t>1 imago, nest</t>
        </is>
      </c>
      <c r="D66" s="2" t="inlineStr">
        <is>
          <t>t.h.v. Utrecht</t>
        </is>
      </c>
      <c r="E66" s="2" t="inlineStr">
        <is>
          <t>Externe bron</t>
        </is>
      </c>
      <c r="F66" s="2">
        <f>HYPERLINK("https://waarneming.nl/observation/380412613/", "Bekijk")</f>
        <v/>
      </c>
      <c r="G66" s="2" t="inlineStr">
        <is>
          <t>GPS 52.11851, 5.08672</t>
        </is>
      </c>
      <c r="H66" s="2" t="b">
        <v>1</v>
      </c>
      <c r="I66" s="2" t="inlineStr">
        <is>
          <t>Nest - niet geruimd</t>
        </is>
      </c>
      <c r="J66" s="2" t="inlineStr">
        <is>
          <t>Goedgekeurd (met bewijs)</t>
        </is>
      </c>
      <c r="K66" s="3" t="n">
        <v>45973.63125</v>
      </c>
    </row>
    <row r="67">
      <c r="A67" s="2" t="inlineStr">
        <is>
          <t>380414430</t>
        </is>
      </c>
      <c r="B67" s="2" t="inlineStr">
        <is>
          <t>2025-11-12 15:28</t>
        </is>
      </c>
      <c r="C67" s="2" t="inlineStr">
        <is>
          <t>1 imago, nest</t>
        </is>
      </c>
      <c r="D67" s="2" t="inlineStr">
        <is>
          <t>Noord</t>
        </is>
      </c>
      <c r="E67" s="2" t="inlineStr">
        <is>
          <t>Externe bron</t>
        </is>
      </c>
      <c r="F67" s="2">
        <f>HYPERLINK("https://waarneming.nl/observation/380414430/", "Bekijk")</f>
        <v/>
      </c>
      <c r="G67" s="2" t="inlineStr">
        <is>
          <t>GPS 52.12693, 5.09678</t>
        </is>
      </c>
      <c r="H67" s="2" t="b">
        <v>1</v>
      </c>
      <c r="I67" s="2" t="inlineStr">
        <is>
          <t>Nest - niet geruimd</t>
        </is>
      </c>
      <c r="J67" s="2" t="inlineStr">
        <is>
          <t>Goedgekeurd (met bewijs)</t>
        </is>
      </c>
      <c r="K67" s="3" t="n">
        <v>45973.64444444444</v>
      </c>
    </row>
    <row r="68">
      <c r="A68" t="inlineStr">
        <is>
          <t>380965488</t>
        </is>
      </c>
      <c r="B68" t="inlineStr">
        <is>
          <t>2025-11-21 11:53</t>
        </is>
      </c>
      <c r="C68" t="inlineStr">
        <is>
          <t>1 imago</t>
        </is>
      </c>
      <c r="D68" t="inlineStr">
        <is>
          <t>Noord</t>
        </is>
      </c>
      <c r="E68" t="inlineStr">
        <is>
          <t>Pepita</t>
        </is>
      </c>
      <c r="F68">
        <f>HYPERLINK("https://waarneming.nl/observation/380965488/", "Bekijk")</f>
        <v/>
      </c>
      <c r="G68" t="inlineStr">
        <is>
          <t>GPS 52.13214, 5.08936</t>
        </is>
      </c>
      <c r="I68" t="inlineStr">
        <is>
          <t>Individueel</t>
        </is>
      </c>
      <c r="J68" t="inlineStr">
        <is>
          <t>Goedgekeurd (met bewijs)</t>
        </is>
      </c>
      <c r="K68" s="1" t="n">
        <v>45982.49513888889</v>
      </c>
    </row>
    <row r="69">
      <c r="A69" t="inlineStr">
        <is>
          <t>380965637</t>
        </is>
      </c>
      <c r="B69" t="inlineStr">
        <is>
          <t>2025-11-21 11:58</t>
        </is>
      </c>
      <c r="C69" t="inlineStr">
        <is>
          <t>1 imago</t>
        </is>
      </c>
      <c r="D69" t="inlineStr">
        <is>
          <t>Flora's Hof</t>
        </is>
      </c>
      <c r="E69" t="inlineStr">
        <is>
          <t>Pepita</t>
        </is>
      </c>
      <c r="F69">
        <f>HYPERLINK("https://waarneming.nl/observation/380965637/", "Bekijk")</f>
        <v/>
      </c>
      <c r="G69" t="inlineStr">
        <is>
          <t>GPS 52.13170, 5.08981</t>
        </is>
      </c>
      <c r="I69" t="inlineStr">
        <is>
          <t>Individueel</t>
        </is>
      </c>
      <c r="J69" t="inlineStr">
        <is>
          <t>Goedgekeurd (met bewijs)</t>
        </is>
      </c>
      <c r="K69" s="1" t="n">
        <v>45982.49861111111</v>
      </c>
    </row>
    <row r="70">
      <c r="A70" t="inlineStr">
        <is>
          <t>380968217</t>
        </is>
      </c>
      <c r="B70" t="inlineStr">
        <is>
          <t>2025-11-21 12:30</t>
        </is>
      </c>
      <c r="C70" t="inlineStr">
        <is>
          <t>1 imago</t>
        </is>
      </c>
      <c r="D70" t="inlineStr">
        <is>
          <t>Flora's Hof</t>
        </is>
      </c>
      <c r="E70" t="inlineStr">
        <is>
          <t>Pepita</t>
        </is>
      </c>
      <c r="F70">
        <f>HYPERLINK("https://waarneming.nl/observation/380968217/", "Bekijk")</f>
        <v/>
      </c>
      <c r="G70" t="inlineStr">
        <is>
          <t>GPS 52.13166, 5.08979</t>
        </is>
      </c>
      <c r="I70" t="inlineStr">
        <is>
          <t>Individueel</t>
        </is>
      </c>
      <c r="J70" t="inlineStr">
        <is>
          <t>Goedgekeurd (met bewijs)</t>
        </is>
      </c>
      <c r="K70" s="1" t="n">
        <v>45982.52083333334</v>
      </c>
    </row>
    <row r="71">
      <c r="A71" t="inlineStr">
        <is>
          <t>380976067</t>
        </is>
      </c>
      <c r="B71" t="inlineStr">
        <is>
          <t>2025-11-21 14:06</t>
        </is>
      </c>
      <c r="C71" t="inlineStr">
        <is>
          <t>2 imago</t>
        </is>
      </c>
      <c r="D71" t="inlineStr">
        <is>
          <t>Oog In Al</t>
        </is>
      </c>
      <c r="E71" t="inlineStr">
        <is>
          <t>Externe bron</t>
        </is>
      </c>
      <c r="F71">
        <f>HYPERLINK("https://waarneming.nl/observation/380976067/", "Bekijk")</f>
        <v/>
      </c>
      <c r="G71" t="inlineStr">
        <is>
          <t>GPS 52.08242, 5.09164</t>
        </is>
      </c>
      <c r="I71" t="inlineStr">
        <is>
          <t>Individueel</t>
        </is>
      </c>
      <c r="J71" t="inlineStr">
        <is>
          <t>Goedgekeurd (met bewijs)</t>
        </is>
      </c>
      <c r="K71" s="1" t="n">
        <v>45982.5875</v>
      </c>
    </row>
    <row r="72">
      <c r="A72" t="inlineStr">
        <is>
          <t>380977143</t>
        </is>
      </c>
      <c r="B72" t="inlineStr">
        <is>
          <t>2025-11-21 14:26</t>
        </is>
      </c>
      <c r="C72" t="inlineStr">
        <is>
          <t>1 imago</t>
        </is>
      </c>
      <c r="D72" t="inlineStr">
        <is>
          <t>Kanaleneiland</t>
        </is>
      </c>
      <c r="E72" t="inlineStr">
        <is>
          <t>Externe bron</t>
        </is>
      </c>
      <c r="F72">
        <f>HYPERLINK("https://waarneming.nl/observation/380977143/", "Bekijk")</f>
        <v/>
      </c>
      <c r="G72" t="inlineStr">
        <is>
          <t>GPS 52.07417, 5.09380</t>
        </is>
      </c>
      <c r="I72" t="inlineStr">
        <is>
          <t>Individueel</t>
        </is>
      </c>
      <c r="J72" t="inlineStr">
        <is>
          <t>Goedgekeurd (met bewijs)</t>
        </is>
      </c>
      <c r="K72" s="1" t="n">
        <v>45982.60138888889</v>
      </c>
    </row>
    <row r="73">
      <c r="A73" t="inlineStr">
        <is>
          <t>380984551</t>
        </is>
      </c>
      <c r="B73" t="inlineStr">
        <is>
          <t>2025-11-21 16:14</t>
        </is>
      </c>
      <c r="C73" t="inlineStr">
        <is>
          <t>1 imago</t>
        </is>
      </c>
      <c r="D73" t="inlineStr">
        <is>
          <t>Oog In Al</t>
        </is>
      </c>
      <c r="E73" t="inlineStr">
        <is>
          <t>van Hattum</t>
        </is>
      </c>
      <c r="F73">
        <f>HYPERLINK("https://waarneming.nl/observation/380984551/", "Bekijk")</f>
        <v/>
      </c>
      <c r="G73" t="inlineStr">
        <is>
          <t>GPS 52.08449, 5.09506</t>
        </is>
      </c>
      <c r="I73" t="inlineStr">
        <is>
          <t>Individueel</t>
        </is>
      </c>
      <c r="J73" t="inlineStr">
        <is>
          <t>Goedgekeurd (met bewijs)</t>
        </is>
      </c>
      <c r="K73" s="1" t="n">
        <v>45982.67638888889</v>
      </c>
    </row>
    <row r="74">
      <c r="A74" t="inlineStr">
        <is>
          <t>381035792</t>
        </is>
      </c>
      <c r="B74" t="inlineStr">
        <is>
          <t>2025-11-22 11:21</t>
        </is>
      </c>
      <c r="C74" t="inlineStr">
        <is>
          <t>1 imago, nest, gezien</t>
        </is>
      </c>
      <c r="D74" t="inlineStr">
        <is>
          <t>Tuindorp</t>
        </is>
      </c>
      <c r="E74" t="inlineStr">
        <is>
          <t>Matthijs</t>
        </is>
      </c>
      <c r="F74">
        <f>HYPERLINK("https://waarneming.nl/observation/381035792/", "Bekijk")</f>
        <v/>
      </c>
      <c r="G74" t="inlineStr">
        <is>
          <t>GPS 52.10955, 5.12728</t>
        </is>
      </c>
      <c r="H74" t="b">
        <v>0</v>
      </c>
      <c r="I74" t="inlineStr">
        <is>
          <t>Nest - niet geruimd</t>
        </is>
      </c>
      <c r="J74" t="inlineStr">
        <is>
          <t>Goedgekeurd (met bewijs)</t>
        </is>
      </c>
      <c r="K74" s="1" t="n">
        <v>45983.47291666667</v>
      </c>
    </row>
    <row r="75">
      <c r="A75" t="inlineStr">
        <is>
          <t>381062468</t>
        </is>
      </c>
      <c r="B75" t="inlineStr">
        <is>
          <t>2025-11-22 16:25</t>
        </is>
      </c>
      <c r="C75" t="inlineStr">
        <is>
          <t>1</t>
        </is>
      </c>
      <c r="D75" t="inlineStr">
        <is>
          <t>Wittevrouwen</t>
        </is>
      </c>
      <c r="E75" t="inlineStr">
        <is>
          <t>Externe bron</t>
        </is>
      </c>
      <c r="F75">
        <f>HYPERLINK("https://waarneming.nl/observation/381062468/", "Bekijk")</f>
        <v/>
      </c>
      <c r="G75" t="inlineStr">
        <is>
          <t>GPS 52.10122, 5.13728</t>
        </is>
      </c>
      <c r="I75" t="inlineStr">
        <is>
          <t>Individueel</t>
        </is>
      </c>
      <c r="J75" t="inlineStr">
        <is>
          <t>Onbekend</t>
        </is>
      </c>
      <c r="K75" s="1" t="n">
        <v>45983.68402777778</v>
      </c>
    </row>
    <row r="76">
      <c r="A76" t="inlineStr">
        <is>
          <t>381099578</t>
        </is>
      </c>
      <c r="B76" t="inlineStr">
        <is>
          <t>2025-11-23 12:00</t>
        </is>
      </c>
      <c r="C76" t="inlineStr">
        <is>
          <t>1 imago, dood</t>
        </is>
      </c>
      <c r="D76" t="inlineStr">
        <is>
          <t>Vleuten</t>
        </is>
      </c>
      <c r="E76" t="inlineStr">
        <is>
          <t>Externe bron</t>
        </is>
      </c>
      <c r="F76">
        <f>HYPERLINK("https://waarneming.nl/observation/381099578/", "Bekijk")</f>
        <v/>
      </c>
      <c r="G76" t="inlineStr">
        <is>
          <t>GPS 52.10739, 5.02342</t>
        </is>
      </c>
      <c r="I76" t="inlineStr">
        <is>
          <t>Individueel</t>
        </is>
      </c>
      <c r="J76" t="inlineStr">
        <is>
          <t>Onbekend</t>
        </is>
      </c>
      <c r="K76" s="1" t="n">
        <v>45984.5</v>
      </c>
    </row>
    <row r="77">
      <c r="A77" t="inlineStr">
        <is>
          <t>381145497</t>
        </is>
      </c>
      <c r="B77" t="inlineStr">
        <is>
          <t>2025-11-24</t>
        </is>
      </c>
      <c r="C77" t="inlineStr">
        <is>
          <t>1 imago</t>
        </is>
      </c>
      <c r="D77" t="inlineStr">
        <is>
          <t>Kanaleneiland</t>
        </is>
      </c>
      <c r="E77" t="inlineStr">
        <is>
          <t>Pim C</t>
        </is>
      </c>
      <c r="F77">
        <f>HYPERLINK("https://waarneming.nl/observation/381145497/", "Bekijk")</f>
        <v/>
      </c>
      <c r="G77" t="inlineStr">
        <is>
          <t>GPS 52.07402, 5.09714</t>
        </is>
      </c>
      <c r="I77" t="inlineStr">
        <is>
          <t>Individueel</t>
        </is>
      </c>
      <c r="J77" t="inlineStr">
        <is>
          <t>Goedgekeurd (met bewijs)</t>
        </is>
      </c>
      <c r="K77" s="1" t="n">
        <v>45985</v>
      </c>
    </row>
    <row r="78">
      <c r="A78" s="2" t="inlineStr">
        <is>
          <t>381210398</t>
        </is>
      </c>
      <c r="B78" s="2" t="inlineStr">
        <is>
          <t>2025-11-25 15:33</t>
        </is>
      </c>
      <c r="C78" s="2" t="inlineStr">
        <is>
          <t>1 imago, nest</t>
        </is>
      </c>
      <c r="D78" s="2" t="inlineStr">
        <is>
          <t>Noordwest (wijk)</t>
        </is>
      </c>
      <c r="E78" s="2" t="inlineStr">
        <is>
          <t>Externe bron</t>
        </is>
      </c>
      <c r="F78" s="2">
        <f>HYPERLINK("https://waarneming.nl/observation/381210398/", "Bekijk")</f>
        <v/>
      </c>
      <c r="G78" s="2" t="inlineStr">
        <is>
          <t>GPS 52.10228, 5.09408</t>
        </is>
      </c>
      <c r="H78" s="2" t="b">
        <v>1</v>
      </c>
      <c r="I78" s="2" t="inlineStr">
        <is>
          <t>Nest - niet geruimd</t>
        </is>
      </c>
      <c r="J78" s="2" t="inlineStr">
        <is>
          <t>Goedgekeurd (met bewijs)</t>
        </is>
      </c>
      <c r="K78" s="3" t="n">
        <v>45986.64791666667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2025-11-20T20:43:27Z</dcterms:created>
  <dcterms:modified xsi:type="dcterms:W3CDTF">2025-11-26T09:00:03Z</dcterms:modified>
</cp:coreProperties>
</file>