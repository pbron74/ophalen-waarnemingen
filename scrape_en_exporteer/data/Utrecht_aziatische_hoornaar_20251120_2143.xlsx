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arnem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Waarneming ID</t>
        </is>
      </c>
      <c r="B1" t="inlineStr">
        <is>
          <t>Datum</t>
        </is>
      </c>
      <c r="C1" t="inlineStr">
        <is>
          <t>Omschrijving</t>
        </is>
      </c>
      <c r="D1" t="inlineStr">
        <is>
          <t>Locatie</t>
        </is>
      </c>
      <c r="E1" t="inlineStr">
        <is>
          <t>Waarnemer</t>
        </is>
      </c>
      <c r="F1" t="inlineStr">
        <is>
          <t>Link</t>
        </is>
      </c>
      <c r="G1" t="inlineStr">
        <is>
          <t>GPS</t>
        </is>
      </c>
      <c r="H1" t="inlineStr">
        <is>
          <t>Doublure</t>
        </is>
      </c>
      <c r="I1" t="inlineStr">
        <is>
          <t>Type</t>
        </is>
      </c>
      <c r="J1" t="inlineStr">
        <is>
          <t>Validatie status</t>
        </is>
      </c>
      <c r="K1" t="inlineStr">
        <is>
          <t>Datum_parsed</t>
        </is>
      </c>
    </row>
    <row r="2">
      <c r="A2" t="inlineStr">
        <is>
          <t>380455061</t>
        </is>
      </c>
      <c r="B2" t="inlineStr">
        <is>
          <t>2025-11-13 09:36</t>
        </is>
      </c>
      <c r="C2" t="inlineStr">
        <is>
          <t>1 imago, nest</t>
        </is>
      </c>
      <c r="D2" t="inlineStr">
        <is>
          <t>Ondiep / Pijlsweerd</t>
        </is>
      </c>
      <c r="E2" t="inlineStr">
        <is>
          <t>Jan</t>
        </is>
      </c>
      <c r="F2">
        <f>HYPERLINK("https://waarneming.nl/observation/380455061/", "Bekijk")</f>
        <v/>
      </c>
      <c r="G2" t="inlineStr">
        <is>
          <t>GPS 52.10127, 5.10401</t>
        </is>
      </c>
      <c r="H2" t="b">
        <v>0</v>
      </c>
      <c r="I2" t="inlineStr">
        <is>
          <t>Nest - niet geruimd</t>
        </is>
      </c>
      <c r="J2" t="inlineStr">
        <is>
          <t>Goedgekeurd (met bewijs)</t>
        </is>
      </c>
      <c r="K2" s="1" t="n">
        <v>45974.4</v>
      </c>
    </row>
    <row r="3">
      <c r="A3" t="inlineStr">
        <is>
          <t>380517064</t>
        </is>
      </c>
      <c r="B3" t="inlineStr">
        <is>
          <t>2025-11-13 13:17</t>
        </is>
      </c>
      <c r="C3" t="inlineStr">
        <is>
          <t>1 imago</t>
        </is>
      </c>
      <c r="D3" t="inlineStr">
        <is>
          <t>Oost (wijk)</t>
        </is>
      </c>
      <c r="E3" t="inlineStr">
        <is>
          <t>Riek Trommel</t>
        </is>
      </c>
      <c r="F3">
        <f>HYPERLINK("https://waarneming.nl/observation/380517064/", "Bekijk")</f>
        <v/>
      </c>
      <c r="G3" t="inlineStr">
        <is>
          <t>GPS 52.09353, 5.13218</t>
        </is>
      </c>
      <c r="H3" t="inlineStr"/>
      <c r="I3" t="inlineStr">
        <is>
          <t>Individueel</t>
        </is>
      </c>
      <c r="J3" t="inlineStr">
        <is>
          <t>Goedgekeurd (met bewijs)</t>
        </is>
      </c>
      <c r="K3" s="1" t="n">
        <v>45974.55347222222</v>
      </c>
    </row>
    <row r="4">
      <c r="A4" t="inlineStr">
        <is>
          <t>380472185</t>
        </is>
      </c>
      <c r="B4" t="inlineStr">
        <is>
          <t>2025-11-13 13:32</t>
        </is>
      </c>
      <c r="C4" t="inlineStr">
        <is>
          <t>2 imago</t>
        </is>
      </c>
      <c r="D4" t="inlineStr">
        <is>
          <t>Tuindorp-Oost</t>
        </is>
      </c>
      <c r="E4" t="inlineStr">
        <is>
          <t>Externe bron</t>
        </is>
      </c>
      <c r="F4">
        <f>HYPERLINK("https://waarneming.nl/observation/380472185/", "Bekijk")</f>
        <v/>
      </c>
      <c r="G4" t="inlineStr">
        <is>
          <t>GPS 52.10292, 5.13515</t>
        </is>
      </c>
      <c r="H4" t="inlineStr"/>
      <c r="I4" t="inlineStr">
        <is>
          <t>Individueel</t>
        </is>
      </c>
      <c r="J4" t="inlineStr">
        <is>
          <t>Goedgekeurd (met bewijs)</t>
        </is>
      </c>
      <c r="K4" s="1" t="n">
        <v>45974.56388888889</v>
      </c>
    </row>
    <row r="5">
      <c r="A5" s="2" t="inlineStr">
        <is>
          <t>380653226</t>
        </is>
      </c>
      <c r="B5" s="2" t="inlineStr">
        <is>
          <t>2025-11-16 08:31</t>
        </is>
      </c>
      <c r="C5" s="2" t="inlineStr">
        <is>
          <t>1 imago, nest</t>
        </is>
      </c>
      <c r="D5" s="2" t="inlineStr">
        <is>
          <t>Ondiep / Pijlsweerd</t>
        </is>
      </c>
      <c r="E5" s="2" t="inlineStr">
        <is>
          <t>Externe bron</t>
        </is>
      </c>
      <c r="F5" s="2">
        <f>HYPERLINK("https://waarneming.nl/observation/380653226/", "Bekijk")</f>
        <v/>
      </c>
      <c r="G5" s="2" t="inlineStr">
        <is>
          <t>GPS 52.10135, 5.10380</t>
        </is>
      </c>
      <c r="H5" s="2" t="b">
        <v>1</v>
      </c>
      <c r="I5" s="2" t="inlineStr">
        <is>
          <t>Nest - niet geruimd</t>
        </is>
      </c>
      <c r="J5" s="2" t="inlineStr">
        <is>
          <t>Goedgekeurd (met bewijs)</t>
        </is>
      </c>
      <c r="K5" s="3" t="n">
        <v>45977.35486111111</v>
      </c>
    </row>
    <row r="6">
      <c r="A6" t="inlineStr">
        <is>
          <t>380662024</t>
        </is>
      </c>
      <c r="B6" t="inlineStr">
        <is>
          <t>2025-11-16 10:43</t>
        </is>
      </c>
      <c r="C6" t="inlineStr">
        <is>
          <t>1 imago, nest</t>
        </is>
      </c>
      <c r="D6" t="inlineStr">
        <is>
          <t>Kanaleneiland</t>
        </is>
      </c>
      <c r="E6" t="inlineStr">
        <is>
          <t>Externe bron</t>
        </is>
      </c>
      <c r="F6">
        <f>HYPERLINK("https://waarneming.nl/observation/380662024/", "Bekijk")</f>
        <v/>
      </c>
      <c r="G6" t="inlineStr">
        <is>
          <t>GPS 52.07878, 5.10174</t>
        </is>
      </c>
      <c r="H6" t="b">
        <v>0</v>
      </c>
      <c r="I6" t="inlineStr">
        <is>
          <t>Nest - niet geruimd</t>
        </is>
      </c>
      <c r="J6" t="inlineStr">
        <is>
          <t>Goedgekeurd (met bewijs)</t>
        </is>
      </c>
      <c r="K6" s="1" t="n">
        <v>45977.44652777778</v>
      </c>
    </row>
    <row r="7">
      <c r="A7" t="inlineStr">
        <is>
          <t>380662296</t>
        </is>
      </c>
      <c r="B7" t="inlineStr">
        <is>
          <t>2025-11-16 10:43</t>
        </is>
      </c>
      <c r="C7" t="inlineStr">
        <is>
          <t>1</t>
        </is>
      </c>
      <c r="D7" t="inlineStr">
        <is>
          <t>Kanaleneiland</t>
        </is>
      </c>
      <c r="E7" t="inlineStr">
        <is>
          <t>Externe bron</t>
        </is>
      </c>
      <c r="F7">
        <f>HYPERLINK("https://waarneming.nl/observation/380662296/", "Bekijk")</f>
        <v/>
      </c>
      <c r="G7" t="inlineStr">
        <is>
          <t>GPS 52.07828, 5.10153</t>
        </is>
      </c>
      <c r="H7" t="inlineStr"/>
      <c r="I7" t="inlineStr">
        <is>
          <t>Individueel</t>
        </is>
      </c>
      <c r="J7" t="inlineStr">
        <is>
          <t>Onbekend</t>
        </is>
      </c>
      <c r="K7" s="1" t="n">
        <v>45977.44652777778</v>
      </c>
    </row>
    <row r="8">
      <c r="A8" t="inlineStr">
        <is>
          <t>380751603</t>
        </is>
      </c>
      <c r="B8" t="inlineStr">
        <is>
          <t>2025-11-16 10:52</t>
        </is>
      </c>
      <c r="C8" t="inlineStr">
        <is>
          <t>1 nest</t>
        </is>
      </c>
      <c r="D8" t="inlineStr">
        <is>
          <t>Rivierenwijk</t>
        </is>
      </c>
      <c r="E8" t="inlineStr">
        <is>
          <t>Externe bron</t>
        </is>
      </c>
      <c r="F8">
        <f>HYPERLINK("https://waarneming.nl/observation/380751603/", "Bekijk")</f>
        <v/>
      </c>
      <c r="G8" t="inlineStr">
        <is>
          <t>GPS 52.07016, 5.11167</t>
        </is>
      </c>
      <c r="H8" t="b">
        <v>0</v>
      </c>
      <c r="I8" t="inlineStr">
        <is>
          <t>Nest - niet geruimd</t>
        </is>
      </c>
      <c r="J8" t="inlineStr">
        <is>
          <t>Goedgekeurd (met bewijs)</t>
        </is>
      </c>
      <c r="K8" s="1" t="n">
        <v>45977.45277777778</v>
      </c>
    </row>
    <row r="9">
      <c r="A9" t="inlineStr">
        <is>
          <t>380664412</t>
        </is>
      </c>
      <c r="B9" t="inlineStr">
        <is>
          <t>2025-11-16 11:16</t>
        </is>
      </c>
      <c r="C9" t="inlineStr">
        <is>
          <t>1 imago, nest</t>
        </is>
      </c>
      <c r="D9" t="inlineStr">
        <is>
          <t>Noordwest (wijk)</t>
        </is>
      </c>
      <c r="E9" t="inlineStr">
        <is>
          <t>Externe bron</t>
        </is>
      </c>
      <c r="F9">
        <f>HYPERLINK("https://waarneming.nl/observation/380664412/", "Bekijk")</f>
        <v/>
      </c>
      <c r="G9" t="inlineStr">
        <is>
          <t>GPS 52.10236, 5.09398</t>
        </is>
      </c>
      <c r="H9" t="b">
        <v>0</v>
      </c>
      <c r="I9" t="inlineStr">
        <is>
          <t>Nest - niet geruimd</t>
        </is>
      </c>
      <c r="J9" t="inlineStr">
        <is>
          <t>Goedgekeurd (met bewijs)</t>
        </is>
      </c>
      <c r="K9" s="1" t="n">
        <v>45977.46944444445</v>
      </c>
    </row>
    <row r="10">
      <c r="A10" t="inlineStr">
        <is>
          <t>380766753</t>
        </is>
      </c>
      <c r="B10" t="inlineStr">
        <is>
          <t>2025-11-16 14:46</t>
        </is>
      </c>
      <c r="C10" t="inlineStr">
        <is>
          <t>1 imago, nest, gezien</t>
        </is>
      </c>
      <c r="D10" t="inlineStr">
        <is>
          <t>Wittevrouwen</t>
        </is>
      </c>
      <c r="E10" t="inlineStr">
        <is>
          <t>MartinW</t>
        </is>
      </c>
      <c r="F10">
        <f>HYPERLINK("https://waarneming.nl/observation/380766753/", "Bekijk")</f>
        <v/>
      </c>
      <c r="G10" t="inlineStr">
        <is>
          <t>GPS 52.10187, 5.13253</t>
        </is>
      </c>
      <c r="H10" t="b">
        <v>0</v>
      </c>
      <c r="I10" t="inlineStr">
        <is>
          <t>Nest - niet geruimd</t>
        </is>
      </c>
      <c r="J10" t="inlineStr">
        <is>
          <t>Goedgekeurd (met bewijs)</t>
        </is>
      </c>
      <c r="K10" s="1" t="n">
        <v>45977.61527777778</v>
      </c>
    </row>
    <row r="11">
      <c r="A11" t="inlineStr">
        <is>
          <t>380750706</t>
        </is>
      </c>
      <c r="B11" t="inlineStr">
        <is>
          <t>2025-11-17</t>
        </is>
      </c>
      <c r="C11" t="inlineStr">
        <is>
          <t>1</t>
        </is>
      </c>
      <c r="D11" t="inlineStr">
        <is>
          <t>Kanaleneiland</t>
        </is>
      </c>
      <c r="E11" t="inlineStr">
        <is>
          <t>Externe bron</t>
        </is>
      </c>
      <c r="F11">
        <f>HYPERLINK("https://waarneming.nl/observation/380750706/", "Bekijk")</f>
        <v/>
      </c>
      <c r="G11" t="inlineStr">
        <is>
          <t>GPS 52.07828, 5.10157</t>
        </is>
      </c>
      <c r="H11" t="inlineStr"/>
      <c r="I11" t="inlineStr">
        <is>
          <t>Individueel</t>
        </is>
      </c>
      <c r="J11" t="inlineStr">
        <is>
          <t>Onbekend</t>
        </is>
      </c>
      <c r="K11" s="1" t="n">
        <v>45978</v>
      </c>
    </row>
    <row r="12">
      <c r="A12" t="inlineStr">
        <is>
          <t>380749109</t>
        </is>
      </c>
      <c r="B12" t="inlineStr">
        <is>
          <t>2025-11-17 08:49</t>
        </is>
      </c>
      <c r="C12" t="inlineStr">
        <is>
          <t>1 imago, nest</t>
        </is>
      </c>
      <c r="D12" t="inlineStr">
        <is>
          <t>Park de Koppel</t>
        </is>
      </c>
      <c r="E12" t="inlineStr">
        <is>
          <t>Externe bron</t>
        </is>
      </c>
      <c r="F12">
        <f>HYPERLINK("https://waarneming.nl/observation/380749109/", "Bekijk")</f>
        <v/>
      </c>
      <c r="G12" t="inlineStr">
        <is>
          <t>GPS 52.05648, 5.12784</t>
        </is>
      </c>
      <c r="H12" t="b">
        <v>0</v>
      </c>
      <c r="I12" t="inlineStr">
        <is>
          <t>Nest - niet geruimd</t>
        </is>
      </c>
      <c r="J12" t="inlineStr">
        <is>
          <t>Goedgekeurd (met bewijs)</t>
        </is>
      </c>
      <c r="K12" s="1" t="n">
        <v>45978.36736111111</v>
      </c>
    </row>
    <row r="13">
      <c r="A13" t="inlineStr">
        <is>
          <t>380749469</t>
        </is>
      </c>
      <c r="B13" t="inlineStr">
        <is>
          <t>2025-11-17 08:54</t>
        </is>
      </c>
      <c r="C13" t="inlineStr">
        <is>
          <t>1 imago</t>
        </is>
      </c>
      <c r="D13" t="inlineStr">
        <is>
          <t>Utrecht (gemeente)</t>
        </is>
      </c>
      <c r="E13" t="inlineStr">
        <is>
          <t>Externe bron</t>
        </is>
      </c>
      <c r="F13">
        <f>HYPERLINK("https://waarneming.nl/observation/380749469/", "Bekijk")</f>
        <v/>
      </c>
      <c r="G13" t="inlineStr">
        <is>
          <t>GPS 52.06186, 5.14656</t>
        </is>
      </c>
      <c r="H13" t="inlineStr"/>
      <c r="I13" t="inlineStr">
        <is>
          <t>Individueel</t>
        </is>
      </c>
      <c r="J13" t="inlineStr">
        <is>
          <t>Goedgekeurd (met bewijs)</t>
        </is>
      </c>
      <c r="K13" s="1" t="n">
        <v>45978.37083333333</v>
      </c>
    </row>
    <row r="14">
      <c r="A14" t="inlineStr">
        <is>
          <t>380758531</t>
        </is>
      </c>
      <c r="B14" t="inlineStr">
        <is>
          <t>2025-11-17 12:11</t>
        </is>
      </c>
      <c r="C14" t="inlineStr">
        <is>
          <t>1</t>
        </is>
      </c>
      <c r="D14" t="inlineStr">
        <is>
          <t>Oog In Al</t>
        </is>
      </c>
      <c r="E14" t="inlineStr">
        <is>
          <t>Marjolijn W</t>
        </is>
      </c>
      <c r="F14">
        <f>HYPERLINK("https://waarneming.nl/observation/380758531/", "Bekijk")</f>
        <v/>
      </c>
      <c r="G14" t="inlineStr">
        <is>
          <t>GPS 52.08429, 5.08521</t>
        </is>
      </c>
      <c r="H14" t="inlineStr"/>
      <c r="I14" t="inlineStr">
        <is>
          <t>Individueel</t>
        </is>
      </c>
      <c r="J14" t="inlineStr">
        <is>
          <t>Goedgekeurd (met bewijs)</t>
        </is>
      </c>
      <c r="K14" s="1" t="n">
        <v>45978.50763888889</v>
      </c>
    </row>
    <row r="15">
      <c r="A15" t="inlineStr">
        <is>
          <t>380821071</t>
        </is>
      </c>
      <c r="B15" t="inlineStr">
        <is>
          <t>2025-11-18 14:21</t>
        </is>
      </c>
      <c r="C15" t="inlineStr">
        <is>
          <t>1 imago</t>
        </is>
      </c>
      <c r="D15" t="inlineStr">
        <is>
          <t>Ondiep / Pijlsweerd</t>
        </is>
      </c>
      <c r="E15" t="inlineStr">
        <is>
          <t>Externe bron</t>
        </is>
      </c>
      <c r="F15">
        <f>HYPERLINK("https://waarneming.nl/observation/380821071/", "Bekijk")</f>
        <v/>
      </c>
      <c r="G15" t="inlineStr">
        <is>
          <t>GPS 52.10252, 5.10509</t>
        </is>
      </c>
      <c r="H15" t="inlineStr"/>
      <c r="I15" t="inlineStr">
        <is>
          <t>Individueel</t>
        </is>
      </c>
      <c r="J15" t="inlineStr">
        <is>
          <t>Goedgekeurd (met bewijs)</t>
        </is>
      </c>
      <c r="K15" s="1" t="n">
        <v>45979.59791666667</v>
      </c>
    </row>
    <row r="16">
      <c r="A16" t="inlineStr">
        <is>
          <t>380884902</t>
        </is>
      </c>
      <c r="B16" t="inlineStr">
        <is>
          <t>2025-11-19 14:32</t>
        </is>
      </c>
      <c r="C16" t="inlineStr">
        <is>
          <t>1 imago</t>
        </is>
      </c>
      <c r="D16" t="inlineStr">
        <is>
          <t>Leidsche Rijn (wijk)</t>
        </is>
      </c>
      <c r="E16" t="inlineStr">
        <is>
          <t>Externe bron</t>
        </is>
      </c>
      <c r="F16">
        <f>HYPERLINK("https://waarneming.nl/observation/380884902/", "Bekijk")</f>
        <v/>
      </c>
      <c r="G16" t="inlineStr">
        <is>
          <t>GPS 52.09037, 5.05891</t>
        </is>
      </c>
      <c r="H16" t="inlineStr"/>
      <c r="I16" t="inlineStr">
        <is>
          <t>Individueel</t>
        </is>
      </c>
      <c r="J16" t="inlineStr">
        <is>
          <t>Goedgekeurd (met bewijs)</t>
        </is>
      </c>
      <c r="K16" s="1" t="n">
        <v>45980.60555555556</v>
      </c>
    </row>
    <row r="17">
      <c r="A17" t="inlineStr">
        <is>
          <t>380912617</t>
        </is>
      </c>
      <c r="B17" t="inlineStr">
        <is>
          <t>2025-11-20 08:17</t>
        </is>
      </c>
      <c r="C17" t="inlineStr">
        <is>
          <t>1 imago, nest</t>
        </is>
      </c>
      <c r="D17" t="inlineStr">
        <is>
          <t>Tuinwijk</t>
        </is>
      </c>
      <c r="E17" t="inlineStr">
        <is>
          <t>Externe bron</t>
        </is>
      </c>
      <c r="F17">
        <f>HYPERLINK("https://waarneming.nl/observation/380912617/", "Bekijk")</f>
        <v/>
      </c>
      <c r="G17" t="inlineStr">
        <is>
          <t>GPS 52.10421, 5.11917</t>
        </is>
      </c>
      <c r="H17" t="b">
        <v>0</v>
      </c>
      <c r="I17" t="inlineStr">
        <is>
          <t>Nest - niet geruimd</t>
        </is>
      </c>
      <c r="J17" t="inlineStr">
        <is>
          <t>Goedgekeurd (met bewijs)</t>
        </is>
      </c>
      <c r="K17" s="1" t="n">
        <v>45981.34513888889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2025-11-20T20:43:27Z</dcterms:created>
  <dcterms:modified xsi:type="dcterms:W3CDTF">2025-11-20T20:43:27Z</dcterms:modified>
</cp:coreProperties>
</file>